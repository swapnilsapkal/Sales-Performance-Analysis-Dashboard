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tices_ Projects\Sales_Performance_Analysis_Dashboard\"/>
    </mc:Choice>
  </mc:AlternateContent>
  <xr:revisionPtr revIDLastSave="0" documentId="13_ncr:1_{7A909924-6F96-43BE-921E-B0EE25E5AEB7}" xr6:coauthVersionLast="47" xr6:coauthVersionMax="47" xr10:uidLastSave="{00000000-0000-0000-0000-000000000000}"/>
  <bookViews>
    <workbookView xWindow="-108" yWindow="-108" windowWidth="23256" windowHeight="12456" xr2:uid="{E54D8D1D-FF31-4130-8D88-4FC3EF4FEE41}"/>
  </bookViews>
  <sheets>
    <sheet name="Dashbaord" sheetId="2" r:id="rId1"/>
    <sheet name="Sales 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2" i="1"/>
</calcChain>
</file>

<file path=xl/sharedStrings.xml><?xml version="1.0" encoding="utf-8"?>
<sst xmlns="http://schemas.openxmlformats.org/spreadsheetml/2006/main" count="9652" uniqueCount="1471">
  <si>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</si>
  <si>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</si>
  <si>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</si>
  <si>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</si>
  <si>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</si>
  <si>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</si>
  <si>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</si>
  <si>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</si>
  <si>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</si>
  <si>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</si>
  <si>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</si>
  <si>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</si>
  <si>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</si>
  <si>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</si>
  <si>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</si>
  <si>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</si>
  <si>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</si>
  <si>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</si>
  <si>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</si>
  <si>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</si>
  <si>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</si>
  <si>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</si>
  <si>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</si>
  <si>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</si>
  <si>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</si>
  <si>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</si>
  <si>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</si>
  <si>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</si>
  <si>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</si>
  <si>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</si>
  <si>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</si>
  <si>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</si>
  <si>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</si>
  <si>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</si>
  <si>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</si>
  <si>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</si>
  <si>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</si>
  <si>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</si>
  <si>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</si>
  <si>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</si>
  <si>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</si>
  <si>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</si>
  <si>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</si>
  <si>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</si>
  <si>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</si>
  <si>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</si>
  <si>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</si>
  <si>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</si>
  <si>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</si>
  <si>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</si>
  <si>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</si>
  <si>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</si>
  <si>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</si>
  <si>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</si>
  <si>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</si>
  <si>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</si>
  <si>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</si>
  <si>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</si>
  <si>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</si>
  <si>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</si>
  <si>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</si>
  <si>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</si>
  <si>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</si>
  <si>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</si>
  <si>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</si>
  <si>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</si>
  <si>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</si>
  <si>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</si>
  <si>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</si>
  <si>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</si>
  <si>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</si>
  <si>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</si>
  <si>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</si>
  <si>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</si>
  <si>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</si>
  <si>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</si>
  <si>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</si>
  <si>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</si>
  <si>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</si>
  <si>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</si>
  <si>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</si>
  <si>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</si>
  <si>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</si>
  <si>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</si>
  <si>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</si>
  <si>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</si>
  <si>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</si>
  <si>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</si>
  <si>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</si>
  <si>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</si>
  <si>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</si>
  <si>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</si>
  <si>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</si>
  <si>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</si>
  <si>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</si>
  <si>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</si>
  <si>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</si>
  <si>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</si>
  <si>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</si>
  <si>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</si>
  <si>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</si>
  <si>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</si>
  <si>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</si>
  <si>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</si>
  <si>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</si>
  <si>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</si>
  <si>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</si>
  <si>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</si>
  <si>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</si>
  <si>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</si>
  <si>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</si>
  <si>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</si>
  <si>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</si>
  <si>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</si>
  <si>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</si>
  <si>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</si>
  <si>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</si>
  <si>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</si>
  <si>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</si>
  <si>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</si>
  <si>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</si>
  <si>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</si>
  <si>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</si>
  <si>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</si>
  <si>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</si>
  <si>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</si>
  <si>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</si>
  <si>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</si>
  <si>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</si>
  <si>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</si>
  <si>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</si>
  <si>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</si>
  <si>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</si>
  <si>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</si>
  <si>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</si>
  <si>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</si>
  <si>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</si>
  <si>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</si>
  <si>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</si>
  <si>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</si>
  <si>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</si>
  <si>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</si>
  <si>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</si>
  <si>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</si>
  <si>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</si>
  <si>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</si>
  <si>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</si>
  <si>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</si>
  <si>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</si>
  <si>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</si>
  <si>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</si>
  <si>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</si>
  <si>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</si>
  <si>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</si>
  <si>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</si>
  <si>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</si>
  <si>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</si>
  <si>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</si>
  <si>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</si>
  <si>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</si>
  <si>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</si>
  <si>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</si>
  <si>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</si>
  <si>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</si>
  <si>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</si>
  <si>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</si>
  <si>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</si>
  <si>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</si>
  <si>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</si>
  <si>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</si>
  <si>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</si>
  <si>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</si>
  <si>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</si>
  <si>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</si>
  <si>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</si>
  <si>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</si>
  <si>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</si>
  <si>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</si>
  <si>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</si>
  <si>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</si>
  <si>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</si>
  <si>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</si>
  <si>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</si>
  <si>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</si>
  <si>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</si>
  <si>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</si>
  <si>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</si>
  <si>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</si>
  <si>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</si>
  <si>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</si>
  <si>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</si>
  <si>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</si>
  <si>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</si>
  <si>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</si>
  <si>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</si>
  <si>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</si>
  <si>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</si>
  <si>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</si>
  <si>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</si>
  <si>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</si>
  <si>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</si>
  <si>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</si>
  <si>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</si>
  <si>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</si>
  <si>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</si>
  <si>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</si>
  <si>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</si>
  <si>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</si>
  <si>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</si>
  <si>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</si>
  <si>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</si>
  <si>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</si>
  <si>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</si>
  <si>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</si>
  <si>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</si>
  <si>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</si>
  <si>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</si>
  <si>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</si>
  <si>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</si>
  <si>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</si>
  <si>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</si>
  <si>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</si>
  <si>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</si>
  <si>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</si>
  <si>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</si>
  <si>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</si>
  <si>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</si>
  <si>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</si>
  <si>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</si>
  <si>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</si>
  <si>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</si>
  <si>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</si>
  <si>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</si>
  <si>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</si>
  <si>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</si>
  <si>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</si>
  <si>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</si>
  <si>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</si>
  <si>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</si>
  <si>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</si>
  <si>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</si>
  <si>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</si>
  <si>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</si>
  <si>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</si>
  <si>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</si>
  <si>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</si>
  <si>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</si>
  <si>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</si>
  <si>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</si>
  <si>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</si>
  <si>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</si>
  <si>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</si>
  <si>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</si>
  <si>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</si>
  <si>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</si>
  <si>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</si>
  <si>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</si>
  <si>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</si>
  <si>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</si>
  <si>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</si>
  <si>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</si>
  <si>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</si>
  <si>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</si>
  <si>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</si>
  <si>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</si>
  <si>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</si>
  <si>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</si>
  <si>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</si>
  <si>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</si>
  <si>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</si>
  <si>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</si>
  <si>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</si>
  <si>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</si>
  <si>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</si>
  <si>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</si>
  <si>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</si>
  <si>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</si>
  <si>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</si>
  <si>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</si>
  <si>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</si>
  <si>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</si>
  <si>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</si>
  <si>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</si>
  <si>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</si>
  <si>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</si>
  <si>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</si>
  <si>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</si>
  <si>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</si>
  <si>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</si>
  <si>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</si>
  <si>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</si>
  <si>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</si>
  <si>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</si>
  <si>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</si>
  <si>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</si>
  <si>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</si>
  <si>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</si>
  <si>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</si>
  <si>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</si>
  <si>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</si>
  <si>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</si>
  <si>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</si>
  <si>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</si>
  <si>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</si>
  <si>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</si>
  <si>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</si>
  <si>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</si>
  <si>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</si>
  <si>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</si>
  <si>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</si>
  <si>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</si>
  <si>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</si>
  <si>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</si>
  <si>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</si>
  <si>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</si>
  <si>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</si>
  <si>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</si>
  <si>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</si>
  <si>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</si>
  <si>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</si>
  <si>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</si>
  <si>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</si>
  <si>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</si>
  <si>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</si>
  <si>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</si>
  <si>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</si>
  <si>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</si>
  <si>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</si>
  <si>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</si>
  <si>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</si>
  <si>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</si>
  <si>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</si>
  <si>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</si>
  <si>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</si>
  <si>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</si>
  <si>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</si>
  <si>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</si>
  <si>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</si>
  <si>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</si>
  <si>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</si>
  <si>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</si>
  <si>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</si>
  <si>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</si>
  <si>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</si>
  <si>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</si>
  <si>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</si>
  <si>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</si>
  <si>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</si>
  <si>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</si>
  <si>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</si>
  <si>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</si>
  <si>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</si>
  <si>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</si>
  <si>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</si>
  <si>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</si>
  <si>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</si>
  <si>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</si>
  <si>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</si>
  <si>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</si>
  <si>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</si>
  <si>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</si>
  <si>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</si>
  <si>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</si>
  <si>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</si>
  <si>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</si>
  <si>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</si>
  <si>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</si>
  <si>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</si>
  <si>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</si>
  <si>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</si>
  <si>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</si>
  <si>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</si>
  <si>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</si>
  <si>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</si>
  <si>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</si>
  <si>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</si>
  <si>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</si>
  <si>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</si>
  <si>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</si>
  <si>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</si>
  <si>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</si>
  <si>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</si>
  <si>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</si>
  <si>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</si>
  <si>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</si>
  <si>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</si>
  <si>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</si>
  <si>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</si>
  <si>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</si>
  <si>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</si>
  <si>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</si>
  <si>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</si>
  <si>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</si>
  <si>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</si>
  <si>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</si>
  <si>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</si>
  <si>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</si>
  <si>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</si>
  <si>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</si>
  <si>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</si>
  <si>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</si>
  <si>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</si>
  <si>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</si>
  <si>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</si>
  <si>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</si>
  <si>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</si>
  <si>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</si>
  <si>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</si>
  <si>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</si>
  <si>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</si>
  <si>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</si>
  <si>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</si>
  <si>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</si>
  <si>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</si>
  <si>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</si>
  <si>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</si>
  <si>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</si>
  <si>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</si>
  <si>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</si>
  <si>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</si>
  <si>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</si>
  <si>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</si>
  <si>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</si>
  <si>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</si>
  <si>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</si>
  <si>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</si>
  <si>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</si>
  <si>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</si>
  <si>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</si>
  <si>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</si>
  <si>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</si>
  <si>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</si>
  <si>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</si>
  <si>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</si>
  <si>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</si>
  <si>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</si>
  <si>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</si>
  <si>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</si>
  <si>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</si>
  <si>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</si>
  <si>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</si>
  <si>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</si>
  <si>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</si>
  <si>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</si>
  <si>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</si>
  <si>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</si>
  <si>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</si>
  <si>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</si>
  <si>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</si>
  <si>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</si>
  <si>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</si>
  <si>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</si>
  <si>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</si>
  <si>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</si>
  <si>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</si>
  <si>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</si>
  <si>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</si>
  <si>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</si>
  <si>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</si>
  <si>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</si>
  <si>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</si>
  <si>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</si>
  <si>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</si>
  <si>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</si>
  <si>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</si>
  <si>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</si>
  <si>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</si>
  <si>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</si>
  <si>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</si>
  <si>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</si>
  <si>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</si>
  <si>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</si>
  <si>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</si>
  <si>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</si>
  <si>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</si>
  <si>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</si>
  <si>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</si>
  <si>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</si>
  <si>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</si>
  <si>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</si>
  <si>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</si>
  <si>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</si>
  <si>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</si>
  <si>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</si>
  <si>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</si>
  <si>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</si>
  <si>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</si>
  <si>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</si>
  <si>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</si>
  <si>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</si>
  <si>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</si>
  <si>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</si>
  <si>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</si>
  <si>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</si>
  <si>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</si>
  <si>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</si>
  <si>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</si>
  <si>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</si>
  <si>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</si>
  <si>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</si>
  <si>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</si>
  <si>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</si>
  <si>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</si>
  <si>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</si>
  <si>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</si>
  <si>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</si>
  <si>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</si>
  <si>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</si>
  <si>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</si>
  <si>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</si>
  <si>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</si>
  <si>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</si>
  <si>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</si>
  <si>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</si>
  <si>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</si>
  <si>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</si>
  <si>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</si>
  <si>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</si>
  <si>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</si>
  <si>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</si>
  <si>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</si>
  <si>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</si>
  <si>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</si>
  <si>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</si>
  <si>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</si>
  <si>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</si>
  <si>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</si>
  <si>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</si>
  <si>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</si>
  <si>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</si>
  <si>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</si>
  <si>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</si>
  <si>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</si>
  <si>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</si>
  <si>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</si>
  <si>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</si>
  <si>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</si>
  <si>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</si>
  <si>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</si>
  <si>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</si>
  <si>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</si>
  <si>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</si>
  <si>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</si>
  <si>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</si>
  <si>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</si>
  <si>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</si>
  <si>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</si>
  <si>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</si>
  <si>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</si>
  <si>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</si>
  <si>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</si>
  <si>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</si>
  <si>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</si>
  <si>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</si>
  <si>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</si>
  <si>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</si>
  <si>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</si>
  <si>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</si>
  <si>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</si>
  <si>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</si>
  <si>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</si>
  <si>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</si>
  <si>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</si>
  <si>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</si>
  <si>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</si>
  <si>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</si>
  <si>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</si>
  <si>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</si>
  <si>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</si>
  <si>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</si>
  <si>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</si>
  <si>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</si>
  <si>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</si>
  <si>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</si>
  <si>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</si>
  <si>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</si>
  <si>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</si>
  <si>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</si>
  <si>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</si>
  <si>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</si>
  <si>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</si>
  <si>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</si>
  <si>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</si>
  <si>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</si>
  <si>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</si>
  <si>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</si>
  <si>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</si>
  <si>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</si>
  <si>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</si>
  <si>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</si>
  <si>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</si>
  <si>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</si>
  <si>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</si>
  <si>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</si>
  <si>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</si>
  <si>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</si>
  <si>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</si>
  <si>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</si>
  <si>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</si>
  <si>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</si>
  <si>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</si>
  <si>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</si>
  <si>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</si>
  <si>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</si>
  <si>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</si>
  <si>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</si>
  <si>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</si>
  <si>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</si>
  <si>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</si>
  <si>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</si>
  <si>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</si>
  <si>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</si>
  <si>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</si>
  <si>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</si>
  <si>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</si>
  <si>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</si>
  <si>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</si>
  <si>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</si>
  <si>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</si>
  <si>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</si>
  <si>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</si>
  <si>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</si>
  <si>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</si>
  <si>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</si>
  <si>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</si>
  <si>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</si>
  <si>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</si>
  <si>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</si>
  <si>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</si>
  <si>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</si>
  <si>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</si>
  <si>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</si>
  <si>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</si>
  <si>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</si>
  <si>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</si>
  <si>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</si>
  <si>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</si>
  <si>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</si>
  <si>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</si>
  <si>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</si>
  <si>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</si>
  <si>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</si>
  <si>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</si>
  <si>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</si>
  <si>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</si>
  <si>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</si>
  <si>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</si>
  <si>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</si>
  <si>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</si>
  <si>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</si>
  <si>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</si>
  <si>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</si>
  <si>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</si>
  <si>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</si>
  <si>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</si>
  <si>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</si>
  <si>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</si>
  <si>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</si>
  <si>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</si>
  <si>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</si>
  <si>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</si>
  <si>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</si>
  <si>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</si>
  <si>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</si>
  <si>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</si>
  <si>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</si>
  <si>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</si>
  <si>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</si>
  <si>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</si>
  <si>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</si>
  <si>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</si>
  <si>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</si>
  <si>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</si>
  <si>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</si>
  <si>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</si>
  <si>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</si>
  <si>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</si>
  <si>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</si>
  <si>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</si>
  <si>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</si>
  <si>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</si>
  <si>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</si>
  <si>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</si>
  <si>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</si>
  <si>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</si>
  <si>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</si>
  <si>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</si>
  <si>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</si>
  <si>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</si>
  <si>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</si>
  <si>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</si>
  <si>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</si>
  <si>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</si>
  <si>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</si>
  <si>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</si>
  <si>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</si>
  <si>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</si>
  <si>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</si>
  <si>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</si>
  <si>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</si>
  <si>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</si>
  <si>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</si>
  <si>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</si>
  <si>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</si>
  <si>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</si>
  <si>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</si>
  <si>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</si>
  <si>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</si>
  <si>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</si>
  <si>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</si>
  <si>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</si>
  <si>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</si>
  <si>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</si>
  <si>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</si>
  <si>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</si>
  <si>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</si>
  <si>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</si>
  <si>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</si>
  <si>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</si>
  <si>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</si>
  <si>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</si>
  <si>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</si>
  <si>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</si>
  <si>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</si>
  <si>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</si>
  <si>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</si>
  <si>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</si>
  <si>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</si>
  <si>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</si>
  <si>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</si>
  <si>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</si>
  <si>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</si>
  <si>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</si>
  <si>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</si>
  <si>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</si>
  <si>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</si>
  <si>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</si>
  <si>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</si>
  <si>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</si>
  <si>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</si>
  <si>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</si>
  <si>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</si>
  <si>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</si>
  <si>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</si>
  <si>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</si>
  <si>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</si>
  <si>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</si>
  <si>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</si>
  <si>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</si>
  <si>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</si>
  <si>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</si>
  <si>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</si>
  <si>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</si>
  <si>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</si>
  <si>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</si>
  <si>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</si>
  <si>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</si>
  <si>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</si>
  <si>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</si>
  <si>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</si>
  <si>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</si>
  <si>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</si>
  <si>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</si>
  <si>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</si>
  <si>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</si>
  <si>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</si>
  <si>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</si>
  <si>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</si>
  <si>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</si>
  <si>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</si>
  <si>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</si>
  <si>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</si>
  <si>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</si>
  <si>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</si>
  <si>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</si>
  <si>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</si>
  <si>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</si>
  <si>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</si>
  <si>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</si>
  <si>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</si>
  <si>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</si>
  <si>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</si>
  <si>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</si>
  <si>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</si>
  <si>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</si>
  <si>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</si>
  <si>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</si>
  <si>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</si>
  <si>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</si>
  <si>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</si>
  <si>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</si>
  <si>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</si>
  <si>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</si>
  <si>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</si>
  <si>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</si>
  <si>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</si>
  <si>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</si>
  <si>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</si>
  <si>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</si>
  <si>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</si>
  <si>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</si>
  <si>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</si>
  <si>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</si>
  <si>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</si>
  <si>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</si>
  <si>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</si>
  <si>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</si>
  <si>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</si>
  <si>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</si>
  <si>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</si>
  <si>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</si>
  <si>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</si>
  <si>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</si>
  <si>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</si>
  <si>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</si>
  <si>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</si>
  <si>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</si>
  <si>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</si>
  <si>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</si>
  <si>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</si>
  <si>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</si>
  <si>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</si>
  <si>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</si>
  <si>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</si>
  <si>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</si>
  <si>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</si>
  <si>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</si>
  <si>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</si>
  <si>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</si>
  <si>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</si>
  <si>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</si>
  <si>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</si>
  <si>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</si>
  <si>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</si>
  <si>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</si>
  <si>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</si>
  <si>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</si>
  <si>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</si>
  <si>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</si>
  <si>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</si>
  <si>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</si>
  <si>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</si>
  <si>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</si>
  <si>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</si>
  <si>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</si>
  <si>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</si>
  <si>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</si>
  <si>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</si>
  <si>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</si>
  <si>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</si>
  <si>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</si>
  <si>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</si>
  <si>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</si>
  <si>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</si>
  <si>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</si>
  <si>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</si>
  <si>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</si>
  <si>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</si>
  <si>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</si>
  <si>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</si>
  <si>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</si>
  <si>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</si>
  <si>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</si>
  <si>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</si>
  <si>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</si>
  <si>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</si>
  <si>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</si>
  <si>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</si>
  <si>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</si>
  <si>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</si>
  <si>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</si>
  <si>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</si>
  <si>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</si>
  <si>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</si>
  <si>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</si>
  <si>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</si>
  <si>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</si>
  <si>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</si>
  <si>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</si>
  <si>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</si>
  <si>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</si>
  <si>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</si>
  <si>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</si>
  <si>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</si>
  <si>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</si>
  <si>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</si>
  <si>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</si>
  <si>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</si>
  <si>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</si>
  <si>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</si>
  <si>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</si>
  <si>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</si>
  <si>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</si>
  <si>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</si>
  <si>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</si>
  <si>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</si>
  <si>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</si>
  <si>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</si>
  <si>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</si>
  <si>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</si>
  <si>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</si>
  <si>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</si>
  <si>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</si>
  <si>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</si>
  <si>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</si>
  <si>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</si>
  <si>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</si>
  <si>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</si>
  <si>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</si>
  <si>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</si>
  <si>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</si>
  <si>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</si>
  <si>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</si>
  <si>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</si>
  <si>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</si>
  <si>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</si>
  <si>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</si>
  <si>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</si>
  <si>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</si>
  <si>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</si>
  <si>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</si>
  <si>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</si>
  <si>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</si>
  <si>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</si>
  <si>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</si>
  <si>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</si>
  <si>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</si>
  <si>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</si>
  <si>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</si>
  <si>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</si>
  <si>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</si>
  <si>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</si>
  <si>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</si>
  <si>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</si>
  <si>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</si>
  <si>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</si>
  <si>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</si>
  <si>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</si>
  <si>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</si>
  <si>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</si>
  <si>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</si>
  <si>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</si>
  <si>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</si>
  <si>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</si>
  <si>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</si>
  <si>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</si>
  <si>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</si>
  <si>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</si>
  <si>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</si>
  <si>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</si>
  <si>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</si>
  <si>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</si>
  <si>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</si>
  <si>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</si>
  <si>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</si>
  <si>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</si>
  <si>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</si>
  <si>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</si>
  <si>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</si>
  <si>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</si>
  <si>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</si>
  <si>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</si>
  <si>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</si>
  <si>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</si>
  <si>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</si>
  <si>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</si>
  <si>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</si>
  <si>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</si>
  <si>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</si>
  <si>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</si>
  <si>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</si>
  <si>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</si>
  <si>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</si>
  <si>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</si>
  <si>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</si>
  <si>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</si>
  <si>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</si>
  <si>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</si>
  <si>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</si>
  <si>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</si>
  <si>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</si>
  <si>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</si>
  <si>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</si>
  <si>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</si>
  <si>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</si>
  <si>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</si>
  <si>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</si>
  <si>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</si>
  <si>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</si>
  <si>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</si>
  <si>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</si>
  <si>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</si>
  <si>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</si>
  <si>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</si>
  <si>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</si>
  <si>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</si>
  <si>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</si>
  <si>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</si>
  <si>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</si>
  <si>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</si>
  <si>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</si>
  <si>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</si>
  <si>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</si>
  <si>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</si>
  <si>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</si>
  <si>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</si>
  <si>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</si>
  <si>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</si>
  <si>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</si>
  <si>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</si>
  <si>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</si>
  <si>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</si>
  <si>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</si>
  <si>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</si>
  <si>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</si>
  <si>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</si>
  <si>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</si>
  <si>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</si>
  <si>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</si>
  <si>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</si>
  <si>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</si>
  <si>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</si>
  <si>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</si>
  <si>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</si>
  <si>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</si>
  <si>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</si>
  <si>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</si>
  <si>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</si>
  <si>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</si>
  <si>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</si>
  <si>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</si>
  <si>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</si>
  <si>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</si>
  <si>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</si>
  <si>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</si>
  <si>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</si>
  <si>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</si>
  <si>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</si>
  <si>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</si>
  <si>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</si>
  <si>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</si>
  <si>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</si>
  <si>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</si>
  <si>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</si>
  <si>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</si>
  <si>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</si>
  <si>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</si>
  <si>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</si>
  <si>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</si>
  <si>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</si>
  <si>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</si>
  <si>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</si>
  <si>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</si>
  <si>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</si>
  <si>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</si>
  <si>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</si>
  <si>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</si>
  <si>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</si>
  <si>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</si>
  <si>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</si>
  <si>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</si>
  <si>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</si>
  <si>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</si>
  <si>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</si>
  <si>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</si>
  <si>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</si>
  <si>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</si>
  <si>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</si>
  <si>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</si>
  <si>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</si>
  <si>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</si>
  <si>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</si>
  <si>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</si>
  <si>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</si>
  <si>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</si>
  <si>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</si>
  <si>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</si>
  <si>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</si>
  <si>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</si>
  <si>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</si>
  <si>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</si>
  <si>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</si>
  <si>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</si>
  <si>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</si>
  <si>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</si>
  <si>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</si>
  <si>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</si>
  <si>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</si>
  <si>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</si>
  <si>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</si>
  <si>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</si>
  <si>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</si>
  <si>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</si>
  <si>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</si>
  <si>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</si>
  <si>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</si>
  <si>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</si>
  <si>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</si>
  <si>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</si>
  <si>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</si>
  <si>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</si>
  <si>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</si>
  <si>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</si>
  <si>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</si>
  <si>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</si>
  <si>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</si>
  <si>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</si>
  <si>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</si>
  <si>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</si>
  <si>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</si>
  <si>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</si>
  <si>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</si>
  <si>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</si>
  <si>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</si>
  <si>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</si>
  <si>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</si>
  <si>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</si>
  <si>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</si>
  <si>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</si>
  <si>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</si>
  <si>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</si>
  <si>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</si>
  <si>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</si>
  <si>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</si>
  <si>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</si>
  <si>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</si>
  <si>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</si>
  <si>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</si>
  <si>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</si>
  <si>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</si>
  <si>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</si>
  <si>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</si>
  <si>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</si>
  <si>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</si>
  <si>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</si>
  <si>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</si>
  <si>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</si>
  <si>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</si>
  <si>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</si>
  <si>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</si>
  <si>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</si>
  <si>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</si>
  <si>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</si>
  <si>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</si>
  <si>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</si>
  <si>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</si>
  <si>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</si>
  <si>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</si>
  <si>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</si>
  <si>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</si>
  <si>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</si>
  <si>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</si>
  <si>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</si>
  <si>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</si>
  <si>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</si>
  <si>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</si>
  <si>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</si>
  <si>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</si>
  <si>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</si>
  <si>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</si>
  <si>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</si>
  <si>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</si>
  <si>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</si>
  <si>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</si>
  <si>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</si>
  <si>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</si>
  <si>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</si>
  <si>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</si>
  <si>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</si>
  <si>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</si>
  <si>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</si>
  <si>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</si>
  <si>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</si>
  <si>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</si>
  <si>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</si>
  <si>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</si>
  <si>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</si>
  <si>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</si>
  <si>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</si>
  <si>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</si>
  <si>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</si>
  <si>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</si>
  <si>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</si>
  <si>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</si>
  <si>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</si>
  <si>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</si>
  <si>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</si>
  <si>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</si>
  <si>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</si>
  <si>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</si>
  <si>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</si>
  <si>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</si>
  <si>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</si>
  <si>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</si>
  <si>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</si>
  <si>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</si>
  <si>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</si>
  <si>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</si>
  <si>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</si>
  <si>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</si>
  <si>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</si>
  <si>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</si>
  <si>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</si>
  <si>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</si>
  <si>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</si>
  <si>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</si>
  <si>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</si>
  <si>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</si>
  <si>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</si>
  <si>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</si>
  <si>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</si>
  <si>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</si>
  <si>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</si>
  <si>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</si>
  <si>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</si>
  <si>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</si>
  <si>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</si>
  <si>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</si>
  <si>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</si>
  <si>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</si>
  <si>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</si>
  <si>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</si>
  <si>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</si>
  <si>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</si>
  <si>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</si>
  <si>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</si>
  <si>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</si>
  <si>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</si>
  <si>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</si>
  <si>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</si>
  <si>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</si>
  <si>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</si>
  <si>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</si>
  <si>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</si>
  <si>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</si>
  <si>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</si>
  <si>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</si>
  <si>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</si>
  <si>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</si>
  <si>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</si>
  <si>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</si>
  <si>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</si>
  <si>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</si>
  <si>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</si>
  <si>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</si>
  <si>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</si>
  <si>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</si>
  <si>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</si>
  <si>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</si>
  <si>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</si>
  <si>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</si>
  <si>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</si>
  <si>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</si>
  <si>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</si>
  <si>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</si>
  <si>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</si>
  <si>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</si>
  <si>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</si>
  <si>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</si>
  <si>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</si>
  <si>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</si>
  <si>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</si>
  <si>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</si>
  <si>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</si>
  <si>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</si>
  <si>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</si>
  <si>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</si>
  <si>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</si>
  <si>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</si>
  <si>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</si>
  <si>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</si>
  <si>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</si>
  <si>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</si>
  <si>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</si>
  <si>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</si>
  <si>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</si>
  <si>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</si>
  <si>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</si>
  <si>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</si>
  <si>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</si>
  <si>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</si>
  <si>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</si>
  <si>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</si>
  <si>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</si>
  <si>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</si>
  <si>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</si>
  <si>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</si>
  <si>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</si>
  <si>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</si>
  <si>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</si>
  <si>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</si>
  <si>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</si>
  <si>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</si>
  <si>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</si>
  <si>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</si>
  <si>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</si>
  <si>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</si>
  <si>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</si>
  <si>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</si>
  <si>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</si>
  <si>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</si>
  <si>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</si>
  <si>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</si>
  <si>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</si>
  <si>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</si>
  <si>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</si>
  <si>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</si>
  <si>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</si>
  <si>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</si>
  <si>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</si>
  <si>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</si>
  <si>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</si>
  <si>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</si>
  <si>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</si>
  <si>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</si>
  <si>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</si>
  <si>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</si>
  <si>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</si>
  <si>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</si>
  <si>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</si>
  <si>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</si>
  <si>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</si>
  <si>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</si>
  <si>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</si>
  <si>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</si>
  <si>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</si>
  <si>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</si>
  <si>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</si>
  <si>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</si>
  <si>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</si>
  <si>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</si>
  <si>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</si>
  <si>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</si>
  <si>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</si>
  <si>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</si>
  <si>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</si>
  <si>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</si>
  <si>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</si>
  <si>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</si>
  <si>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</si>
  <si>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</si>
  <si>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</si>
  <si>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</si>
  <si>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</si>
  <si>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</si>
  <si>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</si>
  <si>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</si>
  <si>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</si>
  <si>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</si>
  <si>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</si>
  <si>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</si>
  <si>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</si>
  <si>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</si>
  <si>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</si>
  <si>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</si>
  <si>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</si>
  <si>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</si>
  <si>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</si>
  <si>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</si>
  <si>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</si>
  <si>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</si>
  <si>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</si>
  <si>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</si>
  <si>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</si>
  <si>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</si>
  <si>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</si>
  <si>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</si>
  <si>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</si>
  <si>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</si>
  <si>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</si>
  <si>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</si>
  <si>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</si>
  <si>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</si>
  <si>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</si>
  <si>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</si>
  <si>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</si>
  <si>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</si>
  <si>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</si>
  <si>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</si>
  <si>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</si>
  <si>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</si>
  <si>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</si>
  <si>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</si>
  <si>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</si>
  <si>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</si>
  <si>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</si>
  <si>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</si>
  <si>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</si>
  <si>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</si>
  <si>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</si>
  <si>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</si>
  <si>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</si>
  <si>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</si>
  <si>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</si>
  <si>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</si>
  <si>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</si>
  <si>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</si>
  <si>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</si>
  <si>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</si>
  <si>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</si>
  <si>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</si>
  <si>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</si>
  <si>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</si>
  <si>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</si>
  <si>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</si>
  <si>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</si>
  <si>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</si>
  <si>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</si>
  <si>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</si>
  <si>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</si>
  <si>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</si>
  <si>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</si>
  <si>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</si>
  <si>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</si>
  <si>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</si>
  <si>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</si>
  <si>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</si>
  <si>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</si>
  <si>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</si>
  <si>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</si>
  <si>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</si>
  <si>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</si>
  <si>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</si>
  <si>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</si>
  <si>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</si>
  <si>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</si>
  <si>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</si>
  <si>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</si>
  <si>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</si>
  <si>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</si>
  <si>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</si>
  <si>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</si>
  <si>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</si>
  <si>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</si>
  <si>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</si>
  <si>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</si>
  <si>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</si>
  <si>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</si>
  <si>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</si>
  <si>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</si>
  <si>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</si>
  <si>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</si>
  <si>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</si>
  <si>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</si>
  <si>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</si>
  <si>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</si>
  <si>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</si>
  <si>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</si>
  <si>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</si>
  <si>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</si>
  <si>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</si>
  <si>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</si>
  <si>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</si>
  <si>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</si>
  <si>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</si>
  <si>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</si>
  <si>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</si>
  <si>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</si>
  <si>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</si>
  <si>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</si>
  <si>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</si>
  <si>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</si>
  <si>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</si>
  <si>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</si>
  <si>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</si>
  <si>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</si>
  <si>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Profit_Margin%</t>
  </si>
  <si>
    <t>Row Labels</t>
  </si>
  <si>
    <t>Grand Total</t>
  </si>
  <si>
    <t>Sum of Amount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</si>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</sst>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[clean_sales_dataset_and_Dashboard.xlsx]Dashbaord!PivotTable1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Dashbaord!$B$3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Dashbaord!$A$4:$A$7</c:f>
              <c:strCache>
                <c:ptCount val="3"/>
                <c:pt idx="0">
                  <c:v>Office Supplies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Dashbaord!$B$4:$B$7</c:f>
              <c:numCache>
                <c:formatCode>General</c:formatCode>
                <c:ptCount val="3"/>
                <c:pt idx="0">
                  <c:v>2089510</c:v>
                </c:pt>
                <c:pt idx="1">
                  <c:v>2054456</c:v>
                </c:pt>
                <c:pt idx="2">
                  <c:v>2038673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B-4C6C-B02F-2591A8D6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198816"/>
        <c:axId val="1984210336"/>
      </c:barChart>
      <c:catAx>
        <c:axId val="198419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10336"/>
        <c:crosses val="autoZero"/>
        <c:auto val="1"/>
        <c:lblAlgn val="ctr"/>
        <c:lblOffset val="100"/>
        <c:noMultiLvlLbl val="0"/>
      </c:catAx>
      <c:valAx>
        <c:axId val="198421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9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[clean_sales_dataset_and_Dashboard.xlsx]Dashbaord!PivotTable6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Payment Mode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Dashbaord!$J$3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9-4208-92FE-C331C6AC29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9-4208-92FE-C331C6AC29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49-4208-92FE-C331C6AC29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49-4208-92FE-C331C6AC29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49-4208-92FE-C331C6AC2926}"/>
              </c:ext>
            </c:extLst>
          </c:dPt>
          <c:cat>
            <c:strRef>
              <c:f>Dashbaord!$I$4:$I$9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Dashbaord!$J$4:$J$9</c:f>
              <c:numCache>
                <c:formatCode>General</c:formatCode>
                <c:ptCount val="5"/>
                <c:pt idx="0">
                  <c:v>206</c:v>
                </c:pt>
                <c:pt idx="1">
                  <c:v>258</c:v>
                </c:pt>
                <c:pt idx="2">
                  <c:v>260</c:v>
                </c:pt>
                <c:pt idx="3">
                  <c:v>218</c:v>
                </c:pt>
                <c:pt idx="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8-49A7-9E6B-79145BBAD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[clean_sales_dataset_and_Dashboard.xlsx]Dashbaord!PivotTable7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Dashbaord!$O$3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Dashbaord!$N$4:$N$65</c:f>
              <c:strCache>
                <c:ptCount val="61"/>
                <c:pt idx="0">
                  <c:v>2022-12</c:v>
                </c:pt>
                <c:pt idx="1">
                  <c:v>2022-08</c:v>
                </c:pt>
                <c:pt idx="2">
                  <c:v>2023-07</c:v>
                </c:pt>
                <c:pt idx="3">
                  <c:v>2021-10</c:v>
                </c:pt>
                <c:pt idx="4">
                  <c:v>2022-10</c:v>
                </c:pt>
                <c:pt idx="5">
                  <c:v>2021-11</c:v>
                </c:pt>
                <c:pt idx="6">
                  <c:v>2022-06</c:v>
                </c:pt>
                <c:pt idx="7">
                  <c:v>2022-01</c:v>
                </c:pt>
                <c:pt idx="8">
                  <c:v>2022-05</c:v>
                </c:pt>
                <c:pt idx="9">
                  <c:v>2024-06</c:v>
                </c:pt>
                <c:pt idx="10">
                  <c:v>2024-04</c:v>
                </c:pt>
                <c:pt idx="11">
                  <c:v>2023-12</c:v>
                </c:pt>
                <c:pt idx="12">
                  <c:v>2020-04</c:v>
                </c:pt>
                <c:pt idx="13">
                  <c:v>2021-12</c:v>
                </c:pt>
                <c:pt idx="14">
                  <c:v>2024-07</c:v>
                </c:pt>
                <c:pt idx="15">
                  <c:v>2023-10</c:v>
                </c:pt>
                <c:pt idx="16">
                  <c:v>2021-05</c:v>
                </c:pt>
                <c:pt idx="17">
                  <c:v>2024-03</c:v>
                </c:pt>
                <c:pt idx="18">
                  <c:v>2024-05</c:v>
                </c:pt>
                <c:pt idx="19">
                  <c:v>2020-05</c:v>
                </c:pt>
                <c:pt idx="20">
                  <c:v>2025-01</c:v>
                </c:pt>
                <c:pt idx="21">
                  <c:v>2022-04</c:v>
                </c:pt>
                <c:pt idx="22">
                  <c:v>2020-10</c:v>
                </c:pt>
                <c:pt idx="23">
                  <c:v>2020-09</c:v>
                </c:pt>
                <c:pt idx="24">
                  <c:v>2024-02</c:v>
                </c:pt>
                <c:pt idx="25">
                  <c:v>2020-11</c:v>
                </c:pt>
                <c:pt idx="26">
                  <c:v>2023-09</c:v>
                </c:pt>
                <c:pt idx="27">
                  <c:v>2022-02</c:v>
                </c:pt>
                <c:pt idx="28">
                  <c:v>2023-03</c:v>
                </c:pt>
                <c:pt idx="29">
                  <c:v>2021-03</c:v>
                </c:pt>
                <c:pt idx="30">
                  <c:v>2023-04</c:v>
                </c:pt>
                <c:pt idx="31">
                  <c:v>2024-12</c:v>
                </c:pt>
                <c:pt idx="32">
                  <c:v>2023-06</c:v>
                </c:pt>
                <c:pt idx="33">
                  <c:v>2021-06</c:v>
                </c:pt>
                <c:pt idx="34">
                  <c:v>2022-03</c:v>
                </c:pt>
                <c:pt idx="35">
                  <c:v>2020-08</c:v>
                </c:pt>
                <c:pt idx="36">
                  <c:v>2021-02</c:v>
                </c:pt>
                <c:pt idx="37">
                  <c:v>2023-11</c:v>
                </c:pt>
                <c:pt idx="38">
                  <c:v>2021-07</c:v>
                </c:pt>
                <c:pt idx="39">
                  <c:v>2020-12</c:v>
                </c:pt>
                <c:pt idx="40">
                  <c:v>2025-02</c:v>
                </c:pt>
                <c:pt idx="41">
                  <c:v>2024-09</c:v>
                </c:pt>
                <c:pt idx="42">
                  <c:v>2023-05</c:v>
                </c:pt>
                <c:pt idx="43">
                  <c:v>2024-10</c:v>
                </c:pt>
                <c:pt idx="44">
                  <c:v>2021-04</c:v>
                </c:pt>
                <c:pt idx="45">
                  <c:v>2021-08</c:v>
                </c:pt>
                <c:pt idx="46">
                  <c:v>2023-08</c:v>
                </c:pt>
                <c:pt idx="47">
                  <c:v>2024-08</c:v>
                </c:pt>
                <c:pt idx="48">
                  <c:v>2023-01</c:v>
                </c:pt>
                <c:pt idx="49">
                  <c:v>2022-07</c:v>
                </c:pt>
                <c:pt idx="50">
                  <c:v>2023-02</c:v>
                </c:pt>
                <c:pt idx="51">
                  <c:v>2024-11</c:v>
                </c:pt>
                <c:pt idx="52">
                  <c:v>2021-09</c:v>
                </c:pt>
                <c:pt idx="53">
                  <c:v>2025-03</c:v>
                </c:pt>
                <c:pt idx="54">
                  <c:v>2022-09</c:v>
                </c:pt>
                <c:pt idx="55">
                  <c:v>2024-01</c:v>
                </c:pt>
                <c:pt idx="56">
                  <c:v>2020-06</c:v>
                </c:pt>
                <c:pt idx="57">
                  <c:v>2022-11</c:v>
                </c:pt>
                <c:pt idx="58">
                  <c:v>2020-07</c:v>
                </c:pt>
                <c:pt idx="59">
                  <c:v>2020-03</c:v>
                </c:pt>
                <c:pt idx="60">
                  <c:v>2021-01</c:v>
                </c:pt>
              </c:strCache>
            </c:strRef>
          </c:cat>
          <c:val>
            <c:numRef>
              <c:f>Dashbaord!$O$4:$O$65</c:f>
              <c:numCache>
                <c:formatCode>General</c:formatCode>
                <c:ptCount val="61"/>
                <c:pt idx="0">
                  <c:v>204413</c:v>
                </c:pt>
                <c:pt idx="1">
                  <c:v>198965</c:v>
                </c:pt>
                <c:pt idx="2">
                  <c:v>181554</c:v>
                </c:pt>
                <c:pt idx="3">
                  <c:v>156211</c:v>
                </c:pt>
                <c:pt idx="4">
                  <c:v>155508</c:v>
                </c:pt>
                <c:pt idx="5">
                  <c:v>150979</c:v>
                </c:pt>
                <c:pt idx="6">
                  <c:v>146997</c:v>
                </c:pt>
                <c:pt idx="7">
                  <c:v>145619</c:v>
                </c:pt>
                <c:pt idx="8">
                  <c:v>143713</c:v>
                </c:pt>
                <c:pt idx="9">
                  <c:v>140745</c:v>
                </c:pt>
                <c:pt idx="10">
                  <c:v>138052</c:v>
                </c:pt>
                <c:pt idx="11">
                  <c:v>134078</c:v>
                </c:pt>
                <c:pt idx="12">
                  <c:v>133385</c:v>
                </c:pt>
                <c:pt idx="13">
                  <c:v>133283</c:v>
                </c:pt>
                <c:pt idx="14">
                  <c:v>129944</c:v>
                </c:pt>
                <c:pt idx="15">
                  <c:v>126861</c:v>
                </c:pt>
                <c:pt idx="16">
                  <c:v>124149</c:v>
                </c:pt>
                <c:pt idx="17">
                  <c:v>119216</c:v>
                </c:pt>
                <c:pt idx="18">
                  <c:v>117494</c:v>
                </c:pt>
                <c:pt idx="19">
                  <c:v>113287</c:v>
                </c:pt>
                <c:pt idx="20">
                  <c:v>112906</c:v>
                </c:pt>
                <c:pt idx="21">
                  <c:v>110873</c:v>
                </c:pt>
                <c:pt idx="22">
                  <c:v>110836</c:v>
                </c:pt>
                <c:pt idx="23">
                  <c:v>109434</c:v>
                </c:pt>
                <c:pt idx="24">
                  <c:v>108414</c:v>
                </c:pt>
                <c:pt idx="25">
                  <c:v>108170</c:v>
                </c:pt>
                <c:pt idx="26">
                  <c:v>108133</c:v>
                </c:pt>
                <c:pt idx="27">
                  <c:v>106735</c:v>
                </c:pt>
                <c:pt idx="28">
                  <c:v>105849</c:v>
                </c:pt>
                <c:pt idx="29">
                  <c:v>103198</c:v>
                </c:pt>
                <c:pt idx="30">
                  <c:v>103109</c:v>
                </c:pt>
                <c:pt idx="31">
                  <c:v>98879</c:v>
                </c:pt>
                <c:pt idx="32">
                  <c:v>97770</c:v>
                </c:pt>
                <c:pt idx="33">
                  <c:v>96616</c:v>
                </c:pt>
                <c:pt idx="34">
                  <c:v>93795</c:v>
                </c:pt>
                <c:pt idx="35">
                  <c:v>91117</c:v>
                </c:pt>
                <c:pt idx="36">
                  <c:v>89829</c:v>
                </c:pt>
                <c:pt idx="37">
                  <c:v>88896</c:v>
                </c:pt>
                <c:pt idx="38">
                  <c:v>85611</c:v>
                </c:pt>
                <c:pt idx="39">
                  <c:v>84725</c:v>
                </c:pt>
                <c:pt idx="40">
                  <c:v>84712</c:v>
                </c:pt>
                <c:pt idx="41">
                  <c:v>84624</c:v>
                </c:pt>
                <c:pt idx="42">
                  <c:v>83300</c:v>
                </c:pt>
                <c:pt idx="43">
                  <c:v>83105</c:v>
                </c:pt>
                <c:pt idx="44">
                  <c:v>82463</c:v>
                </c:pt>
                <c:pt idx="45">
                  <c:v>79494</c:v>
                </c:pt>
                <c:pt idx="46">
                  <c:v>74870</c:v>
                </c:pt>
                <c:pt idx="47">
                  <c:v>73384</c:v>
                </c:pt>
                <c:pt idx="48">
                  <c:v>64321</c:v>
                </c:pt>
                <c:pt idx="49">
                  <c:v>61745</c:v>
                </c:pt>
                <c:pt idx="50">
                  <c:v>60982</c:v>
                </c:pt>
                <c:pt idx="51">
                  <c:v>60976</c:v>
                </c:pt>
                <c:pt idx="52">
                  <c:v>57426</c:v>
                </c:pt>
                <c:pt idx="53">
                  <c:v>52198</c:v>
                </c:pt>
                <c:pt idx="54">
                  <c:v>48619</c:v>
                </c:pt>
                <c:pt idx="55">
                  <c:v>47645</c:v>
                </c:pt>
                <c:pt idx="56">
                  <c:v>46900</c:v>
                </c:pt>
                <c:pt idx="57">
                  <c:v>42793</c:v>
                </c:pt>
                <c:pt idx="58">
                  <c:v>38556</c:v>
                </c:pt>
                <c:pt idx="59">
                  <c:v>22991</c:v>
                </c:pt>
                <c:pt idx="60">
                  <c:v>22187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9-43D7-AA56-F18CC6C5B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273120"/>
        <c:axId val="145271680"/>
      </c:lineChart>
      <c:catAx>
        <c:axId val="1452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1680"/>
        <c:crosses val="autoZero"/>
        <c:auto val="1"/>
        <c:lblAlgn val="ctr"/>
        <c:lblOffset val="100"/>
        <c:noMultiLvlLbl val="0"/>
      </c:catAx>
      <c:valAx>
        <c:axId val="1452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38100</xdr:rowOff>
    </xdr:from>
    <xdr:to>
      <xdr:col>5</xdr:col>
      <xdr:colOff>655320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85EBC-624D-D1EB-E64F-3BCB7BAFA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822960</xdr:colOff>
      <xdr:row>11</xdr:row>
      <xdr:rowOff>19050</xdr:rowOff>
    </xdr:from>
    <xdr:to>
      <xdr:col>11</xdr:col>
      <xdr:colOff>243840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F8853-81B9-3C82-BED9-7552E632B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312420</xdr:colOff>
      <xdr:row>6</xdr:row>
      <xdr:rowOff>125730</xdr:rowOff>
    </xdr:from>
    <xdr:to>
      <xdr:col>23</xdr:col>
      <xdr:colOff>7620</xdr:colOff>
      <xdr:row>21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46EA67-6BC2-35C6-A450-C5D9F0E7F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" refreshedDate="46199.434031712961" createdVersion="8" refreshedVersion="8" minRefreshableVersion="3" recordCount="1194" xr:uid="{E5A305A6-D8F0-43E8-98CF-61C3D31E1A06}">
  <cacheSource type="worksheet">
    <worksheetSource ref="A1:M1195" sheet="Sales Dataset"/>
  </cacheSource>
  <cacheFields count="13">
    <cacheField name="Order ID" numFmtId="0">
      <sharedItems/>
    </cacheField>
    <cacheField name="Amount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0">
      <sharedItems count="61"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Profit_Margin%" numFmtId="2">
      <sharedItems containsSemiMixedTypes="0" containsString="0" containsNumber="1" minValue="0.7790184367696702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s v="Electronic Games"/>
    <x v="0"/>
    <d v="2023-06-27T00:00:00"/>
    <s v="David Padilla"/>
    <x v="0"/>
    <s v="Miami"/>
    <x v="0"/>
    <n v="13.10919185687847"/>
  </r>
  <r>
    <s v="B-26776"/>
    <n v="9726"/>
    <n v="1275"/>
    <n v="5"/>
    <x v="0"/>
    <s v="Electronic Games"/>
    <x v="0"/>
    <d v="2024-12-27T00:00:00"/>
    <s v="Connor Morgan"/>
    <x v="1"/>
    <s v="Chicago"/>
    <x v="1"/>
    <n v="13.10919185687847"/>
  </r>
  <r>
    <s v="B-26776"/>
    <n v="9726"/>
    <n v="1275"/>
    <n v="5"/>
    <x v="0"/>
    <s v="Electronic Games"/>
    <x v="0"/>
    <d v="2021-07-25T00:00:00"/>
    <s v="Robert Stone"/>
    <x v="2"/>
    <s v="Buffalo"/>
    <x v="2"/>
    <n v="13.10919185687847"/>
  </r>
  <r>
    <s v="B-26776"/>
    <n v="4975"/>
    <n v="1330"/>
    <n v="14"/>
    <x v="0"/>
    <s v="Printers"/>
    <x v="0"/>
    <d v="2023-06-27T00:00:00"/>
    <s v="David Padilla"/>
    <x v="0"/>
    <s v="Miami"/>
    <x v="0"/>
    <n v="26.733668341708544"/>
  </r>
  <r>
    <s v="B-26776"/>
    <n v="4975"/>
    <n v="1330"/>
    <n v="14"/>
    <x v="0"/>
    <s v="Printers"/>
    <x v="0"/>
    <d v="2024-12-27T00:00:00"/>
    <s v="Connor Morgan"/>
    <x v="1"/>
    <s v="Chicago"/>
    <x v="1"/>
    <n v="26.733668341708544"/>
  </r>
  <r>
    <s v="B-26776"/>
    <n v="4975"/>
    <n v="1330"/>
    <n v="14"/>
    <x v="0"/>
    <s v="Printers"/>
    <x v="0"/>
    <d v="2021-07-25T00:00:00"/>
    <s v="Robert Stone"/>
    <x v="2"/>
    <s v="Buffalo"/>
    <x v="2"/>
    <n v="26.733668341708544"/>
  </r>
  <r>
    <s v="B-26942"/>
    <n v="1525"/>
    <n v="185"/>
    <n v="12"/>
    <x v="1"/>
    <s v="Pens"/>
    <x v="1"/>
    <d v="2024-05-11T00:00:00"/>
    <s v="John Fields"/>
    <x v="0"/>
    <s v="Orlando"/>
    <x v="3"/>
    <n v="12.131147540983607"/>
  </r>
  <r>
    <s v="B-26942"/>
    <n v="1525"/>
    <n v="185"/>
    <n v="12"/>
    <x v="1"/>
    <s v="Pens"/>
    <x v="1"/>
    <d v="2021-10-09T00:00:00"/>
    <s v="Clayton Smith"/>
    <x v="0"/>
    <s v="Miami"/>
    <x v="4"/>
    <n v="12.131147540983607"/>
  </r>
  <r>
    <s v="B-26640"/>
    <n v="883"/>
    <n v="117"/>
    <n v="10"/>
    <x v="0"/>
    <s v="Laptops"/>
    <x v="2"/>
    <d v="2022-11-18T00:00:00"/>
    <s v="Richard Kelley"/>
    <x v="3"/>
    <s v="Los Angeles"/>
    <x v="5"/>
    <n v="13.250283125707815"/>
  </r>
  <r>
    <s v="B-26640"/>
    <n v="8127"/>
    <n v="3551"/>
    <n v="16"/>
    <x v="2"/>
    <s v="Tables"/>
    <x v="3"/>
    <d v="2022-11-18T00:00:00"/>
    <s v="Richard Kelley"/>
    <x v="3"/>
    <s v="Los Angeles"/>
    <x v="5"/>
    <n v="43.693859972929737"/>
  </r>
  <r>
    <s v="B-25890"/>
    <n v="2516"/>
    <n v="734"/>
    <n v="19"/>
    <x v="2"/>
    <s v="Chairs"/>
    <x v="0"/>
    <d v="2023-11-12T00:00:00"/>
    <s v="Jacqueline Hubbard"/>
    <x v="2"/>
    <s v="New York City"/>
    <x v="6"/>
    <n v="29.173290937996821"/>
  </r>
  <r>
    <s v="B-25102"/>
    <n v="2975"/>
    <n v="462"/>
    <n v="14"/>
    <x v="1"/>
    <s v="Pens"/>
    <x v="3"/>
    <d v="2020-03-23T00:00:00"/>
    <s v="Jessica Anderson"/>
    <x v="2"/>
    <s v="New York City"/>
    <x v="7"/>
    <n v="15.529411764705884"/>
  </r>
  <r>
    <s v="B-25426"/>
    <n v="6851"/>
    <n v="2812"/>
    <n v="1"/>
    <x v="1"/>
    <s v="Markers"/>
    <x v="1"/>
    <d v="2020-05-04T00:00:00"/>
    <s v="Mary Taylor"/>
    <x v="0"/>
    <s v="Orlando"/>
    <x v="8"/>
    <n v="41.04510290468545"/>
  </r>
  <r>
    <s v="B-25426"/>
    <n v="7626"/>
    <n v="1046"/>
    <n v="15"/>
    <x v="2"/>
    <s v="Sofas"/>
    <x v="3"/>
    <d v="2020-05-04T00:00:00"/>
    <s v="Mary Taylor"/>
    <x v="0"/>
    <s v="Orlando"/>
    <x v="8"/>
    <n v="13.716233936532914"/>
  </r>
  <r>
    <s v="B-25426"/>
    <n v="1023"/>
    <n v="78"/>
    <n v="9"/>
    <x v="2"/>
    <s v="Tables"/>
    <x v="0"/>
    <d v="2020-05-04T00:00:00"/>
    <s v="Mary Taylor"/>
    <x v="0"/>
    <s v="Orlando"/>
    <x v="8"/>
    <n v="7.6246334310850443"/>
  </r>
  <r>
    <s v="B-25238"/>
    <n v="7600"/>
    <n v="1098"/>
    <n v="10"/>
    <x v="1"/>
    <s v="Pens"/>
    <x v="0"/>
    <d v="2023-11-09T00:00:00"/>
    <s v="Walter Crawford"/>
    <x v="1"/>
    <s v="Springfield"/>
    <x v="6"/>
    <n v="14.44736842105263"/>
  </r>
  <r>
    <s v="B-25238"/>
    <n v="7501"/>
    <n v="262"/>
    <n v="18"/>
    <x v="1"/>
    <s v="Paper"/>
    <x v="4"/>
    <d v="2023-11-09T00:00:00"/>
    <s v="Walter Crawford"/>
    <x v="1"/>
    <s v="Springfield"/>
    <x v="6"/>
    <n v="3.4928676176509796"/>
  </r>
  <r>
    <s v="B-25051"/>
    <n v="725"/>
    <n v="133"/>
    <n v="6"/>
    <x v="1"/>
    <s v="Paper"/>
    <x v="3"/>
    <d v="2024-12-30T00:00:00"/>
    <s v="Lawrence Robinson"/>
    <x v="2"/>
    <s v="Rochester"/>
    <x v="1"/>
    <n v="18.344827586206897"/>
  </r>
  <r>
    <s v="B-25051"/>
    <n v="7201"/>
    <n v="2685"/>
    <n v="2"/>
    <x v="2"/>
    <s v="Tables"/>
    <x v="3"/>
    <d v="2024-12-30T00:00:00"/>
    <s v="Lawrence Robinson"/>
    <x v="2"/>
    <s v="Rochester"/>
    <x v="1"/>
    <n v="37.286487987779473"/>
  </r>
  <r>
    <s v="B-26510"/>
    <n v="1629"/>
    <n v="265"/>
    <n v="1"/>
    <x v="1"/>
    <s v="Paper"/>
    <x v="0"/>
    <d v="2025-02-11T00:00:00"/>
    <s v="Douglas Pennington"/>
    <x v="4"/>
    <s v="Dallas"/>
    <x v="9"/>
    <n v="16.267648864333946"/>
  </r>
  <r>
    <s v="B-26510"/>
    <n v="1629"/>
    <n v="265"/>
    <n v="1"/>
    <x v="1"/>
    <s v="Paper"/>
    <x v="0"/>
    <d v="2024-01-23T00:00:00"/>
    <s v="Ricardo Andrews"/>
    <x v="3"/>
    <s v="San Diego"/>
    <x v="10"/>
    <n v="16.267648864333946"/>
  </r>
  <r>
    <s v="B-25104"/>
    <n v="8971"/>
    <n v="2971"/>
    <n v="19"/>
    <x v="1"/>
    <s v="Binders"/>
    <x v="1"/>
    <d v="2020-11-28T00:00:00"/>
    <s v="Paul Raymond"/>
    <x v="3"/>
    <s v="San Diego"/>
    <x v="11"/>
    <n v="33.117824099877389"/>
  </r>
  <r>
    <s v="B-25104"/>
    <n v="2939"/>
    <n v="894"/>
    <n v="20"/>
    <x v="1"/>
    <s v="Binders"/>
    <x v="4"/>
    <d v="2020-11-28T00:00:00"/>
    <s v="Paul Raymond"/>
    <x v="3"/>
    <s v="San Diego"/>
    <x v="11"/>
    <n v="30.41850969717591"/>
  </r>
  <r>
    <s v="B-25553"/>
    <n v="9380"/>
    <n v="414"/>
    <n v="11"/>
    <x v="0"/>
    <s v="Phones"/>
    <x v="0"/>
    <d v="2024-05-30T00:00:00"/>
    <s v="Karen Johnson"/>
    <x v="2"/>
    <s v="Rochester"/>
    <x v="3"/>
    <n v="4.4136460554371002"/>
  </r>
  <r>
    <s v="B-25553"/>
    <n v="8558"/>
    <n v="1644"/>
    <n v="18"/>
    <x v="1"/>
    <s v="Binders"/>
    <x v="3"/>
    <d v="2024-05-30T00:00:00"/>
    <s v="Karen Johnson"/>
    <x v="2"/>
    <s v="Rochester"/>
    <x v="3"/>
    <n v="19.210095816779621"/>
  </r>
  <r>
    <s v="B-25553"/>
    <n v="4080"/>
    <n v="72"/>
    <n v="17"/>
    <x v="1"/>
    <s v="Paper"/>
    <x v="4"/>
    <d v="2024-05-30T00:00:00"/>
    <s v="Karen Johnson"/>
    <x v="2"/>
    <s v="Rochester"/>
    <x v="3"/>
    <n v="1.7647058823529411"/>
  </r>
  <r>
    <s v="B-26703"/>
    <n v="4206"/>
    <n v="1821"/>
    <n v="17"/>
    <x v="0"/>
    <s v="Electronic Games"/>
    <x v="2"/>
    <d v="2022-01-23T00:00:00"/>
    <s v="Juan Erickson"/>
    <x v="4"/>
    <s v="Austin"/>
    <x v="12"/>
    <n v="43.295292439372325"/>
  </r>
  <r>
    <s v="B-26232"/>
    <n v="5219"/>
    <n v="1180"/>
    <n v="20"/>
    <x v="1"/>
    <s v="Binders"/>
    <x v="4"/>
    <d v="2021-12-17T00:00:00"/>
    <s v="Alexander Reed"/>
    <x v="2"/>
    <s v="New York City"/>
    <x v="13"/>
    <n v="22.60969534393562"/>
  </r>
  <r>
    <s v="B-26232"/>
    <n v="5219"/>
    <n v="1180"/>
    <n v="20"/>
    <x v="1"/>
    <s v="Binders"/>
    <x v="4"/>
    <d v="2023-02-03T00:00:00"/>
    <s v="Jacqueline Harris"/>
    <x v="3"/>
    <s v="San Francisco"/>
    <x v="14"/>
    <n v="22.60969534393562"/>
  </r>
  <r>
    <s v="B-25394"/>
    <n v="3686"/>
    <n v="760"/>
    <n v="20"/>
    <x v="1"/>
    <s v="Pens"/>
    <x v="1"/>
    <d v="2022-10-30T00:00:00"/>
    <s v="Tyler Park"/>
    <x v="3"/>
    <s v="San Francisco"/>
    <x v="15"/>
    <n v="20.618556701030926"/>
  </r>
  <r>
    <s v="B-25394"/>
    <n v="3686"/>
    <n v="760"/>
    <n v="20"/>
    <x v="1"/>
    <s v="Pens"/>
    <x v="1"/>
    <d v="2022-01-15T00:00:00"/>
    <s v="Richard Wolfe"/>
    <x v="5"/>
    <s v="Columbus"/>
    <x v="12"/>
    <n v="20.618556701030926"/>
  </r>
  <r>
    <s v="B-26157"/>
    <n v="6045"/>
    <n v="1606"/>
    <n v="4"/>
    <x v="1"/>
    <s v="Paper"/>
    <x v="4"/>
    <d v="2023-12-14T00:00:00"/>
    <s v="Sierra Rios"/>
    <x v="0"/>
    <s v="Orlando"/>
    <x v="16"/>
    <n v="26.567411083540115"/>
  </r>
  <r>
    <s v="B-26157"/>
    <n v="9337"/>
    <n v="554"/>
    <n v="11"/>
    <x v="1"/>
    <s v="Pens"/>
    <x v="4"/>
    <d v="2023-12-14T00:00:00"/>
    <s v="Sierra Rios"/>
    <x v="0"/>
    <s v="Orlando"/>
    <x v="16"/>
    <n v="5.9333833136981902"/>
  </r>
  <r>
    <s v="B-25555"/>
    <n v="4051"/>
    <n v="1848"/>
    <n v="12"/>
    <x v="0"/>
    <s v="Phones"/>
    <x v="3"/>
    <d v="2023-07-03T00:00:00"/>
    <s v="Jessica Richardson"/>
    <x v="3"/>
    <s v="San Diego"/>
    <x v="17"/>
    <n v="45.618365835596144"/>
  </r>
  <r>
    <s v="B-25555"/>
    <n v="4051"/>
    <n v="1848"/>
    <n v="12"/>
    <x v="0"/>
    <s v="Phones"/>
    <x v="3"/>
    <d v="2021-05-08T00:00:00"/>
    <s v="Kimberly Warren"/>
    <x v="5"/>
    <s v="Cincinnati"/>
    <x v="18"/>
    <n v="45.618365835596144"/>
  </r>
  <r>
    <s v="B-25555"/>
    <n v="5011"/>
    <n v="866"/>
    <n v="11"/>
    <x v="2"/>
    <s v="Bookcases"/>
    <x v="3"/>
    <d v="2023-07-03T00:00:00"/>
    <s v="Jessica Richardson"/>
    <x v="3"/>
    <s v="San Diego"/>
    <x v="17"/>
    <n v="17.28197964478148"/>
  </r>
  <r>
    <s v="B-25555"/>
    <n v="5011"/>
    <n v="866"/>
    <n v="11"/>
    <x v="2"/>
    <s v="Bookcases"/>
    <x v="3"/>
    <d v="2021-05-08T00:00:00"/>
    <s v="Kimberly Warren"/>
    <x v="5"/>
    <s v="Cincinnati"/>
    <x v="18"/>
    <n v="17.28197964478148"/>
  </r>
  <r>
    <s v="B-26139"/>
    <n v="3958"/>
    <n v="630"/>
    <n v="15"/>
    <x v="2"/>
    <s v="Sofas"/>
    <x v="2"/>
    <d v="2022-10-07T00:00:00"/>
    <s v="Casey Garcia"/>
    <x v="0"/>
    <s v="Orlando"/>
    <x v="15"/>
    <n v="15.917129863567459"/>
  </r>
  <r>
    <s v="B-26139"/>
    <n v="3132"/>
    <n v="963"/>
    <n v="1"/>
    <x v="2"/>
    <s v="Tables"/>
    <x v="1"/>
    <d v="2022-10-07T00:00:00"/>
    <s v="Casey Garcia"/>
    <x v="0"/>
    <s v="Orlando"/>
    <x v="15"/>
    <n v="30.747126436781606"/>
  </r>
  <r>
    <s v="B-25032"/>
    <n v="7784"/>
    <n v="2937"/>
    <n v="12"/>
    <x v="1"/>
    <s v="Markers"/>
    <x v="0"/>
    <d v="2024-08-06T00:00:00"/>
    <s v="Denise Hampton"/>
    <x v="3"/>
    <s v="San Francisco"/>
    <x v="19"/>
    <n v="37.731243576567323"/>
  </r>
  <r>
    <s v="B-25032"/>
    <n v="5591"/>
    <n v="1696"/>
    <n v="3"/>
    <x v="1"/>
    <s v="Pens"/>
    <x v="4"/>
    <d v="2024-08-06T00:00:00"/>
    <s v="Denise Hampton"/>
    <x v="3"/>
    <s v="San Francisco"/>
    <x v="19"/>
    <n v="30.334466106242175"/>
  </r>
  <r>
    <s v="B-25032"/>
    <n v="5122"/>
    <n v="2413"/>
    <n v="12"/>
    <x v="0"/>
    <s v="Electronic Games"/>
    <x v="4"/>
    <d v="2024-08-06T00:00:00"/>
    <s v="Denise Hampton"/>
    <x v="3"/>
    <s v="San Francisco"/>
    <x v="19"/>
    <n v="47.110503709488484"/>
  </r>
  <r>
    <s v="B-25730"/>
    <n v="8293"/>
    <n v="2632"/>
    <n v="8"/>
    <x v="1"/>
    <s v="Binders"/>
    <x v="4"/>
    <d v="2022-01-05T00:00:00"/>
    <s v="Justin Rodriguez"/>
    <x v="5"/>
    <s v="Cleveland"/>
    <x v="12"/>
    <n v="31.73761003255758"/>
  </r>
  <r>
    <s v="B-25730"/>
    <n v="8293"/>
    <n v="2632"/>
    <n v="8"/>
    <x v="1"/>
    <s v="Binders"/>
    <x v="4"/>
    <d v="2020-10-17T00:00:00"/>
    <s v="Ms. Emily Baxter"/>
    <x v="2"/>
    <s v="Rochester"/>
    <x v="20"/>
    <n v="31.73761003255758"/>
  </r>
  <r>
    <s v="B-25730"/>
    <n v="8293"/>
    <n v="2632"/>
    <n v="8"/>
    <x v="1"/>
    <s v="Binders"/>
    <x v="4"/>
    <d v="2023-08-21T00:00:00"/>
    <s v="Austin White"/>
    <x v="3"/>
    <s v="Los Angeles"/>
    <x v="21"/>
    <n v="31.73761003255758"/>
  </r>
  <r>
    <s v="B-25730"/>
    <n v="2863"/>
    <n v="205"/>
    <n v="17"/>
    <x v="0"/>
    <s v="Phones"/>
    <x v="0"/>
    <d v="2022-01-05T00:00:00"/>
    <s v="Justin Rodriguez"/>
    <x v="5"/>
    <s v="Cleveland"/>
    <x v="12"/>
    <n v="7.1603213412504365"/>
  </r>
  <r>
    <s v="B-25730"/>
    <n v="2863"/>
    <n v="205"/>
    <n v="17"/>
    <x v="0"/>
    <s v="Phones"/>
    <x v="0"/>
    <d v="2020-10-17T00:00:00"/>
    <s v="Ms. Emily Baxter"/>
    <x v="2"/>
    <s v="Rochester"/>
    <x v="20"/>
    <n v="7.1603213412504365"/>
  </r>
  <r>
    <s v="B-25730"/>
    <n v="2863"/>
    <n v="205"/>
    <n v="17"/>
    <x v="0"/>
    <s v="Phones"/>
    <x v="0"/>
    <d v="2023-08-21T00:00:00"/>
    <s v="Austin White"/>
    <x v="3"/>
    <s v="Los Angeles"/>
    <x v="21"/>
    <n v="7.1603213412504365"/>
  </r>
  <r>
    <s v="B-26470"/>
    <n v="3090"/>
    <n v="573"/>
    <n v="6"/>
    <x v="2"/>
    <s v="Tables"/>
    <x v="2"/>
    <d v="2024-12-27T00:00:00"/>
    <s v="Morgan Montes"/>
    <x v="3"/>
    <s v="San Diego"/>
    <x v="1"/>
    <n v="18.543689320388349"/>
  </r>
  <r>
    <s v="B-26470"/>
    <n v="3090"/>
    <n v="573"/>
    <n v="6"/>
    <x v="2"/>
    <s v="Tables"/>
    <x v="2"/>
    <d v="2021-06-18T00:00:00"/>
    <s v="Christine Mosley"/>
    <x v="5"/>
    <s v="Cincinnati"/>
    <x v="22"/>
    <n v="18.543689320388349"/>
  </r>
  <r>
    <s v="B-26470"/>
    <n v="3090"/>
    <n v="573"/>
    <n v="6"/>
    <x v="2"/>
    <s v="Tables"/>
    <x v="2"/>
    <d v="2023-05-27T00:00:00"/>
    <s v="Ashley Rodriguez"/>
    <x v="4"/>
    <s v="Austin"/>
    <x v="23"/>
    <n v="18.543689320388349"/>
  </r>
  <r>
    <s v="B-26470"/>
    <n v="3090"/>
    <n v="573"/>
    <n v="6"/>
    <x v="2"/>
    <s v="Tables"/>
    <x v="2"/>
    <d v="2021-10-12T00:00:00"/>
    <s v="Elizabeth King"/>
    <x v="4"/>
    <s v="Dallas"/>
    <x v="4"/>
    <n v="18.543689320388349"/>
  </r>
  <r>
    <s v="B-26470"/>
    <n v="9683"/>
    <n v="1014"/>
    <n v="5"/>
    <x v="0"/>
    <s v="Printers"/>
    <x v="0"/>
    <d v="2024-12-27T00:00:00"/>
    <s v="Morgan Montes"/>
    <x v="3"/>
    <s v="San Diego"/>
    <x v="1"/>
    <n v="10.471961169059176"/>
  </r>
  <r>
    <s v="B-26470"/>
    <n v="9683"/>
    <n v="1014"/>
    <n v="5"/>
    <x v="0"/>
    <s v="Printers"/>
    <x v="0"/>
    <d v="2021-06-18T00:00:00"/>
    <s v="Christine Mosley"/>
    <x v="5"/>
    <s v="Cincinnati"/>
    <x v="22"/>
    <n v="10.471961169059176"/>
  </r>
  <r>
    <s v="B-26470"/>
    <n v="9683"/>
    <n v="1014"/>
    <n v="5"/>
    <x v="0"/>
    <s v="Printers"/>
    <x v="0"/>
    <d v="2023-05-27T00:00:00"/>
    <s v="Ashley Rodriguez"/>
    <x v="4"/>
    <s v="Austin"/>
    <x v="23"/>
    <n v="10.471961169059176"/>
  </r>
  <r>
    <s v="B-26470"/>
    <n v="9683"/>
    <n v="1014"/>
    <n v="5"/>
    <x v="0"/>
    <s v="Printers"/>
    <x v="0"/>
    <d v="2021-10-12T00:00:00"/>
    <s v="Elizabeth King"/>
    <x v="4"/>
    <s v="Dallas"/>
    <x v="4"/>
    <n v="10.471961169059176"/>
  </r>
  <r>
    <s v="B-25988"/>
    <n v="2463"/>
    <n v="648"/>
    <n v="18"/>
    <x v="2"/>
    <s v="Tables"/>
    <x v="2"/>
    <d v="2022-09-19T00:00:00"/>
    <s v="Connie Holmes"/>
    <x v="5"/>
    <s v="Cincinnati"/>
    <x v="24"/>
    <n v="26.30937880633374"/>
  </r>
  <r>
    <s v="B-25568"/>
    <n v="7811"/>
    <n v="1538"/>
    <n v="12"/>
    <x v="2"/>
    <s v="Sofas"/>
    <x v="4"/>
    <d v="2022-03-25T00:00:00"/>
    <s v="Melissa Peck"/>
    <x v="0"/>
    <s v="Miami"/>
    <x v="25"/>
    <n v="19.690180514658813"/>
  </r>
  <r>
    <s v="B-26730"/>
    <n v="6139"/>
    <n v="451"/>
    <n v="10"/>
    <x v="2"/>
    <s v="Tables"/>
    <x v="1"/>
    <d v="2022-02-26T00:00:00"/>
    <s v="David Smith"/>
    <x v="0"/>
    <s v="Orlando"/>
    <x v="26"/>
    <n v="7.3464733669978823"/>
  </r>
  <r>
    <s v="B-26730"/>
    <n v="6139"/>
    <n v="451"/>
    <n v="10"/>
    <x v="2"/>
    <s v="Tables"/>
    <x v="1"/>
    <d v="2021-04-05T00:00:00"/>
    <s v="Jacqueline Harris"/>
    <x v="4"/>
    <s v="Houston"/>
    <x v="27"/>
    <n v="7.3464733669978823"/>
  </r>
  <r>
    <s v="B-26730"/>
    <n v="8636"/>
    <n v="3192"/>
    <n v="3"/>
    <x v="2"/>
    <s v="Chairs"/>
    <x v="4"/>
    <d v="2022-02-26T00:00:00"/>
    <s v="David Smith"/>
    <x v="0"/>
    <s v="Orlando"/>
    <x v="26"/>
    <n v="36.961556276053727"/>
  </r>
  <r>
    <s v="B-26730"/>
    <n v="8636"/>
    <n v="3192"/>
    <n v="3"/>
    <x v="2"/>
    <s v="Chairs"/>
    <x v="4"/>
    <d v="2021-04-05T00:00:00"/>
    <s v="Jacqueline Harris"/>
    <x v="4"/>
    <s v="Houston"/>
    <x v="27"/>
    <n v="36.961556276053727"/>
  </r>
  <r>
    <s v="B-26730"/>
    <n v="4439"/>
    <n v="1712"/>
    <n v="19"/>
    <x v="2"/>
    <s v="Sofas"/>
    <x v="3"/>
    <d v="2022-02-26T00:00:00"/>
    <s v="David Smith"/>
    <x v="0"/>
    <s v="Orlando"/>
    <x v="26"/>
    <n v="38.567244874971841"/>
  </r>
  <r>
    <s v="B-26730"/>
    <n v="4439"/>
    <n v="1712"/>
    <n v="19"/>
    <x v="2"/>
    <s v="Sofas"/>
    <x v="3"/>
    <d v="2021-04-05T00:00:00"/>
    <s v="Jacqueline Harris"/>
    <x v="4"/>
    <s v="Houston"/>
    <x v="27"/>
    <n v="38.567244874971841"/>
  </r>
  <r>
    <s v="B-25372"/>
    <n v="1016"/>
    <n v="172"/>
    <n v="20"/>
    <x v="2"/>
    <s v="Tables"/>
    <x v="1"/>
    <d v="2020-11-16T00:00:00"/>
    <s v="Heather Jenkins"/>
    <x v="2"/>
    <s v="Buffalo"/>
    <x v="11"/>
    <n v="16.929133858267718"/>
  </r>
  <r>
    <s v="B-25372"/>
    <n v="5768"/>
    <n v="2059"/>
    <n v="14"/>
    <x v="2"/>
    <s v="Tables"/>
    <x v="0"/>
    <d v="2020-11-16T00:00:00"/>
    <s v="Heather Jenkins"/>
    <x v="2"/>
    <s v="Buffalo"/>
    <x v="11"/>
    <n v="35.696948682385575"/>
  </r>
  <r>
    <s v="B-25372"/>
    <n v="1217"/>
    <n v="151"/>
    <n v="3"/>
    <x v="2"/>
    <s v="Tables"/>
    <x v="3"/>
    <d v="2020-11-16T00:00:00"/>
    <s v="Heather Jenkins"/>
    <x v="2"/>
    <s v="Buffalo"/>
    <x v="11"/>
    <n v="12.407559572719803"/>
  </r>
  <r>
    <s v="B-26026"/>
    <n v="953"/>
    <n v="93"/>
    <n v="2"/>
    <x v="1"/>
    <s v="Paper"/>
    <x v="1"/>
    <d v="2024-12-12T00:00:00"/>
    <s v="Kelsey Castaneda"/>
    <x v="5"/>
    <s v="Cleveland"/>
    <x v="1"/>
    <n v="9.7586568730325283"/>
  </r>
  <r>
    <s v="B-26026"/>
    <n v="953"/>
    <n v="93"/>
    <n v="2"/>
    <x v="1"/>
    <s v="Paper"/>
    <x v="1"/>
    <d v="2023-04-06T00:00:00"/>
    <s v="Katherine Harris"/>
    <x v="3"/>
    <s v="Los Angeles"/>
    <x v="28"/>
    <n v="9.7586568730325283"/>
  </r>
  <r>
    <s v="B-26026"/>
    <n v="7355"/>
    <n v="1034"/>
    <n v="3"/>
    <x v="2"/>
    <s v="Sofas"/>
    <x v="4"/>
    <d v="2024-12-12T00:00:00"/>
    <s v="Kelsey Castaneda"/>
    <x v="5"/>
    <s v="Cleveland"/>
    <x v="1"/>
    <n v="14.058463630183549"/>
  </r>
  <r>
    <s v="B-26026"/>
    <n v="7355"/>
    <n v="1034"/>
    <n v="3"/>
    <x v="2"/>
    <s v="Sofas"/>
    <x v="4"/>
    <d v="2023-04-06T00:00:00"/>
    <s v="Katherine Harris"/>
    <x v="3"/>
    <s v="Los Angeles"/>
    <x v="28"/>
    <n v="14.058463630183549"/>
  </r>
  <r>
    <s v="B-26026"/>
    <n v="1843"/>
    <n v="248"/>
    <n v="3"/>
    <x v="0"/>
    <s v="Phones"/>
    <x v="3"/>
    <d v="2024-12-12T00:00:00"/>
    <s v="Kelsey Castaneda"/>
    <x v="5"/>
    <s v="Cleveland"/>
    <x v="1"/>
    <n v="13.456321215409659"/>
  </r>
  <r>
    <s v="B-26026"/>
    <n v="1843"/>
    <n v="248"/>
    <n v="3"/>
    <x v="0"/>
    <s v="Phones"/>
    <x v="3"/>
    <d v="2023-04-06T00:00:00"/>
    <s v="Katherine Harris"/>
    <x v="3"/>
    <s v="Los Angeles"/>
    <x v="28"/>
    <n v="13.456321215409659"/>
  </r>
  <r>
    <s v="B-26026"/>
    <n v="1603"/>
    <n v="361"/>
    <n v="10"/>
    <x v="1"/>
    <s v="Pens"/>
    <x v="1"/>
    <d v="2024-12-12T00:00:00"/>
    <s v="Kelsey Castaneda"/>
    <x v="5"/>
    <s v="Cleveland"/>
    <x v="1"/>
    <n v="22.520274485339989"/>
  </r>
  <r>
    <s v="B-26026"/>
    <n v="1603"/>
    <n v="361"/>
    <n v="10"/>
    <x v="1"/>
    <s v="Pens"/>
    <x v="1"/>
    <d v="2023-04-06T00:00:00"/>
    <s v="Katherine Harris"/>
    <x v="3"/>
    <s v="Los Angeles"/>
    <x v="28"/>
    <n v="22.520274485339989"/>
  </r>
  <r>
    <s v="B-25295"/>
    <n v="2025"/>
    <n v="528"/>
    <n v="1"/>
    <x v="1"/>
    <s v="Pens"/>
    <x v="3"/>
    <d v="2024-01-28T00:00:00"/>
    <s v="Paul Rogers"/>
    <x v="0"/>
    <s v="Miami"/>
    <x v="10"/>
    <n v="26.074074074074073"/>
  </r>
  <r>
    <s v="B-25295"/>
    <n v="6800"/>
    <n v="167"/>
    <n v="16"/>
    <x v="1"/>
    <s v="Binders"/>
    <x v="2"/>
    <d v="2024-01-28T00:00:00"/>
    <s v="Paul Rogers"/>
    <x v="0"/>
    <s v="Miami"/>
    <x v="10"/>
    <n v="2.4558823529411766"/>
  </r>
  <r>
    <s v="B-26121"/>
    <n v="1126"/>
    <n v="55"/>
    <n v="1"/>
    <x v="2"/>
    <s v="Bookcases"/>
    <x v="0"/>
    <d v="2022-01-16T00:00:00"/>
    <s v="Jon Banks"/>
    <x v="0"/>
    <s v="Tampa"/>
    <x v="12"/>
    <n v="4.8845470692717585"/>
  </r>
  <r>
    <s v="B-26121"/>
    <n v="1126"/>
    <n v="55"/>
    <n v="1"/>
    <x v="2"/>
    <s v="Bookcases"/>
    <x v="0"/>
    <d v="2022-12-16T00:00:00"/>
    <s v="Michelle Williams"/>
    <x v="2"/>
    <s v="Buffalo"/>
    <x v="29"/>
    <n v="4.8845470692717585"/>
  </r>
  <r>
    <s v="B-25560"/>
    <n v="7533"/>
    <n v="3508"/>
    <n v="12"/>
    <x v="2"/>
    <s v="Tables"/>
    <x v="0"/>
    <d v="2023-07-13T00:00:00"/>
    <s v="Andrew Allen"/>
    <x v="3"/>
    <s v="San Diego"/>
    <x v="17"/>
    <n v="46.56843223151467"/>
  </r>
  <r>
    <s v="B-25560"/>
    <n v="4734"/>
    <n v="1178"/>
    <n v="16"/>
    <x v="1"/>
    <s v="Binders"/>
    <x v="3"/>
    <d v="2023-07-13T00:00:00"/>
    <s v="Andrew Allen"/>
    <x v="3"/>
    <s v="San Diego"/>
    <x v="17"/>
    <n v="24.883819180397126"/>
  </r>
  <r>
    <s v="B-25560"/>
    <n v="4074"/>
    <n v="1175"/>
    <n v="6"/>
    <x v="0"/>
    <s v="Electronic Games"/>
    <x v="1"/>
    <d v="2023-07-13T00:00:00"/>
    <s v="Andrew Allen"/>
    <x v="3"/>
    <s v="San Diego"/>
    <x v="17"/>
    <n v="28.841433480608735"/>
  </r>
  <r>
    <s v="B-25560"/>
    <n v="2334"/>
    <n v="484"/>
    <n v="3"/>
    <x v="2"/>
    <s v="Sofas"/>
    <x v="3"/>
    <d v="2023-07-13T00:00:00"/>
    <s v="Andrew Allen"/>
    <x v="3"/>
    <s v="San Diego"/>
    <x v="17"/>
    <n v="20.736932305055699"/>
  </r>
  <r>
    <s v="B-26076"/>
    <n v="2750"/>
    <n v="1239"/>
    <n v="11"/>
    <x v="0"/>
    <s v="Phones"/>
    <x v="1"/>
    <d v="2025-03-10T00:00:00"/>
    <s v="Vanessa Bauer"/>
    <x v="2"/>
    <s v="Buffalo"/>
    <x v="30"/>
    <n v="45.054545454545455"/>
  </r>
  <r>
    <s v="B-26076"/>
    <n v="2750"/>
    <n v="1239"/>
    <n v="11"/>
    <x v="0"/>
    <s v="Phones"/>
    <x v="1"/>
    <d v="2024-09-24T00:00:00"/>
    <s v="Sean Smith"/>
    <x v="5"/>
    <s v="Cleveland"/>
    <x v="31"/>
    <n v="45.054545454545455"/>
  </r>
  <r>
    <s v="B-26076"/>
    <n v="8639"/>
    <n v="3104"/>
    <n v="19"/>
    <x v="1"/>
    <s v="Pens"/>
    <x v="2"/>
    <d v="2025-03-10T00:00:00"/>
    <s v="Vanessa Bauer"/>
    <x v="2"/>
    <s v="Buffalo"/>
    <x v="30"/>
    <n v="35.930084500520891"/>
  </r>
  <r>
    <s v="B-26076"/>
    <n v="8639"/>
    <n v="3104"/>
    <n v="19"/>
    <x v="1"/>
    <s v="Pens"/>
    <x v="2"/>
    <d v="2024-09-24T00:00:00"/>
    <s v="Sean Smith"/>
    <x v="5"/>
    <s v="Cleveland"/>
    <x v="31"/>
    <n v="35.930084500520891"/>
  </r>
  <r>
    <s v="B-25872"/>
    <n v="3808"/>
    <n v="1192"/>
    <n v="4"/>
    <x v="1"/>
    <s v="Markers"/>
    <x v="0"/>
    <d v="2020-04-13T00:00:00"/>
    <s v="Shelly Sweeney"/>
    <x v="2"/>
    <s v="New York City"/>
    <x v="32"/>
    <n v="31.30252100840336"/>
  </r>
  <r>
    <s v="B-25872"/>
    <n v="2588"/>
    <n v="705"/>
    <n v="16"/>
    <x v="1"/>
    <s v="Pens"/>
    <x v="3"/>
    <d v="2020-04-13T00:00:00"/>
    <s v="Shelly Sweeney"/>
    <x v="2"/>
    <s v="New York City"/>
    <x v="32"/>
    <n v="27.241112828438951"/>
  </r>
  <r>
    <s v="B-26185"/>
    <n v="1591"/>
    <n v="727"/>
    <n v="5"/>
    <x v="0"/>
    <s v="Electronic Games"/>
    <x v="3"/>
    <d v="2022-06-27T00:00:00"/>
    <s v="Emily Gill"/>
    <x v="1"/>
    <s v="Springfield"/>
    <x v="33"/>
    <n v="45.69453174104337"/>
  </r>
  <r>
    <s v="B-26185"/>
    <n v="1591"/>
    <n v="727"/>
    <n v="5"/>
    <x v="0"/>
    <s v="Electronic Games"/>
    <x v="3"/>
    <d v="2021-03-14T00:00:00"/>
    <s v="Brian Patrick"/>
    <x v="0"/>
    <s v="Tampa"/>
    <x v="34"/>
    <n v="45.69453174104337"/>
  </r>
  <r>
    <s v="B-26185"/>
    <n v="1591"/>
    <n v="727"/>
    <n v="5"/>
    <x v="0"/>
    <s v="Electronic Games"/>
    <x v="3"/>
    <d v="2022-02-23T00:00:00"/>
    <s v="Dr. Sarah Booth"/>
    <x v="5"/>
    <s v="Cincinnati"/>
    <x v="26"/>
    <n v="45.69453174104337"/>
  </r>
  <r>
    <s v="B-26259"/>
    <n v="1757"/>
    <n v="622"/>
    <n v="10"/>
    <x v="2"/>
    <s v="Chairs"/>
    <x v="0"/>
    <d v="2022-03-29T00:00:00"/>
    <s v="Douglas Mcfarland"/>
    <x v="5"/>
    <s v="Cleveland"/>
    <x v="25"/>
    <n v="35.401252134319869"/>
  </r>
  <r>
    <s v="B-26259"/>
    <n v="1757"/>
    <n v="622"/>
    <n v="10"/>
    <x v="2"/>
    <s v="Chairs"/>
    <x v="0"/>
    <d v="2022-11-20T00:00:00"/>
    <s v="Kayla Ross"/>
    <x v="1"/>
    <s v="Peoria"/>
    <x v="5"/>
    <n v="35.401252134319869"/>
  </r>
  <r>
    <s v="B-25142"/>
    <n v="6940"/>
    <n v="253"/>
    <n v="15"/>
    <x v="2"/>
    <s v="Bookcases"/>
    <x v="1"/>
    <d v="2021-11-12T00:00:00"/>
    <s v="Marc Strickland"/>
    <x v="0"/>
    <s v="Orlando"/>
    <x v="35"/>
    <n v="3.6455331412103749"/>
  </r>
  <r>
    <s v="B-25142"/>
    <n v="5105"/>
    <n v="465"/>
    <n v="5"/>
    <x v="0"/>
    <s v="Printers"/>
    <x v="0"/>
    <d v="2021-11-12T00:00:00"/>
    <s v="Marc Strickland"/>
    <x v="0"/>
    <s v="Orlando"/>
    <x v="35"/>
    <n v="9.1087169441723805"/>
  </r>
  <r>
    <s v="B-25326"/>
    <n v="5578"/>
    <n v="277"/>
    <n v="16"/>
    <x v="2"/>
    <s v="Tables"/>
    <x v="4"/>
    <d v="2021-08-17T00:00:00"/>
    <s v="Charlene Brown"/>
    <x v="0"/>
    <s v="Miami"/>
    <x v="36"/>
    <n v="4.9659376120473286"/>
  </r>
  <r>
    <s v="B-25326"/>
    <n v="5578"/>
    <n v="277"/>
    <n v="16"/>
    <x v="2"/>
    <s v="Tables"/>
    <x v="4"/>
    <d v="2022-05-16T00:00:00"/>
    <s v="Charles Smith"/>
    <x v="5"/>
    <s v="Columbus"/>
    <x v="37"/>
    <n v="4.9659376120473286"/>
  </r>
  <r>
    <s v="B-26795"/>
    <n v="5224"/>
    <n v="1958"/>
    <n v="16"/>
    <x v="2"/>
    <s v="Chairs"/>
    <x v="3"/>
    <d v="2023-07-16T00:00:00"/>
    <s v="Karen Townsend"/>
    <x v="4"/>
    <s v="Houston"/>
    <x v="17"/>
    <n v="37.480857580398165"/>
  </r>
  <r>
    <s v="B-26795"/>
    <n v="5002"/>
    <n v="1801"/>
    <n v="11"/>
    <x v="1"/>
    <s v="Markers"/>
    <x v="3"/>
    <d v="2023-07-16T00:00:00"/>
    <s v="Karen Townsend"/>
    <x v="4"/>
    <s v="Houston"/>
    <x v="17"/>
    <n v="36.00559776089564"/>
  </r>
  <r>
    <s v="B-26795"/>
    <n v="7380"/>
    <n v="1673"/>
    <n v="18"/>
    <x v="1"/>
    <s v="Markers"/>
    <x v="4"/>
    <d v="2023-07-16T00:00:00"/>
    <s v="Karen Townsend"/>
    <x v="4"/>
    <s v="Houston"/>
    <x v="17"/>
    <n v="22.669376693766939"/>
  </r>
  <r>
    <s v="B-25660"/>
    <n v="7595"/>
    <n v="2873"/>
    <n v="4"/>
    <x v="2"/>
    <s v="Chairs"/>
    <x v="1"/>
    <d v="2020-08-18T00:00:00"/>
    <s v="Steven Cox"/>
    <x v="3"/>
    <s v="Los Angeles"/>
    <x v="38"/>
    <n v="37.827518104015802"/>
  </r>
  <r>
    <s v="B-25660"/>
    <n v="7595"/>
    <n v="2873"/>
    <n v="4"/>
    <x v="2"/>
    <s v="Chairs"/>
    <x v="1"/>
    <d v="2022-04-19T00:00:00"/>
    <s v="Cynthia Rodriguez"/>
    <x v="2"/>
    <s v="Rochester"/>
    <x v="39"/>
    <n v="37.827518104015802"/>
  </r>
  <r>
    <s v="B-25410"/>
    <n v="1954"/>
    <n v="294"/>
    <n v="7"/>
    <x v="2"/>
    <s v="Sofas"/>
    <x v="1"/>
    <d v="2022-12-23T00:00:00"/>
    <s v="Jessica Baker"/>
    <x v="4"/>
    <s v="Austin"/>
    <x v="29"/>
    <n v="15.046059365404298"/>
  </r>
  <r>
    <s v="B-25690"/>
    <n v="523"/>
    <n v="95"/>
    <n v="20"/>
    <x v="0"/>
    <s v="Printers"/>
    <x v="2"/>
    <d v="2024-12-07T00:00:00"/>
    <s v="Mark Blackburn"/>
    <x v="4"/>
    <s v="Dallas"/>
    <x v="1"/>
    <n v="18.164435946462714"/>
  </r>
  <r>
    <s v="B-26464"/>
    <n v="5704"/>
    <n v="714"/>
    <n v="13"/>
    <x v="0"/>
    <s v="Laptops"/>
    <x v="2"/>
    <d v="2022-02-03T00:00:00"/>
    <s v="Zachary Perez"/>
    <x v="4"/>
    <s v="Austin"/>
    <x v="26"/>
    <n v="12.517531556802245"/>
  </r>
  <r>
    <s v="B-26464"/>
    <n v="5704"/>
    <n v="714"/>
    <n v="13"/>
    <x v="0"/>
    <s v="Laptops"/>
    <x v="2"/>
    <d v="2021-12-12T00:00:00"/>
    <s v="Brian Green"/>
    <x v="3"/>
    <s v="San Diego"/>
    <x v="13"/>
    <n v="12.517531556802245"/>
  </r>
  <r>
    <s v="B-26464"/>
    <n v="8797"/>
    <n v="1010"/>
    <n v="8"/>
    <x v="2"/>
    <s v="Tables"/>
    <x v="0"/>
    <d v="2022-02-03T00:00:00"/>
    <s v="Zachary Perez"/>
    <x v="4"/>
    <s v="Austin"/>
    <x v="26"/>
    <n v="11.481186768216437"/>
  </r>
  <r>
    <s v="B-26464"/>
    <n v="8797"/>
    <n v="1010"/>
    <n v="8"/>
    <x v="2"/>
    <s v="Tables"/>
    <x v="0"/>
    <d v="2021-12-12T00:00:00"/>
    <s v="Brian Green"/>
    <x v="3"/>
    <s v="San Diego"/>
    <x v="13"/>
    <n v="11.481186768216437"/>
  </r>
  <r>
    <s v="B-26464"/>
    <n v="9236"/>
    <n v="2899"/>
    <n v="5"/>
    <x v="0"/>
    <s v="Laptops"/>
    <x v="1"/>
    <d v="2022-02-03T00:00:00"/>
    <s v="Zachary Perez"/>
    <x v="4"/>
    <s v="Austin"/>
    <x v="26"/>
    <n v="31.38804677349502"/>
  </r>
  <r>
    <s v="B-26464"/>
    <n v="9236"/>
    <n v="2899"/>
    <n v="5"/>
    <x v="0"/>
    <s v="Laptops"/>
    <x v="1"/>
    <d v="2021-12-12T00:00:00"/>
    <s v="Brian Green"/>
    <x v="3"/>
    <s v="San Diego"/>
    <x v="13"/>
    <n v="31.38804677349502"/>
  </r>
  <r>
    <s v="B-26454"/>
    <n v="9109"/>
    <n v="586"/>
    <n v="17"/>
    <x v="2"/>
    <s v="Sofas"/>
    <x v="2"/>
    <d v="2020-05-17T00:00:00"/>
    <s v="Becky Leach"/>
    <x v="0"/>
    <s v="Miami"/>
    <x v="8"/>
    <n v="6.4331979361071463"/>
  </r>
  <r>
    <s v="B-26742"/>
    <n v="4358"/>
    <n v="526"/>
    <n v="19"/>
    <x v="0"/>
    <s v="Phones"/>
    <x v="3"/>
    <d v="2022-12-05T00:00:00"/>
    <s v="Bryan Russell"/>
    <x v="4"/>
    <s v="Dallas"/>
    <x v="29"/>
    <n v="12.069756769160165"/>
  </r>
  <r>
    <s v="B-26742"/>
    <n v="4358"/>
    <n v="526"/>
    <n v="19"/>
    <x v="0"/>
    <s v="Phones"/>
    <x v="3"/>
    <d v="2024-09-17T00:00:00"/>
    <s v="Tony Maddox"/>
    <x v="3"/>
    <s v="San Francisco"/>
    <x v="31"/>
    <n v="12.069756769160165"/>
  </r>
  <r>
    <s v="B-26742"/>
    <n v="6459"/>
    <n v="825"/>
    <n v="8"/>
    <x v="0"/>
    <s v="Phones"/>
    <x v="3"/>
    <d v="2022-12-05T00:00:00"/>
    <s v="Bryan Russell"/>
    <x v="4"/>
    <s v="Dallas"/>
    <x v="29"/>
    <n v="12.772875058058522"/>
  </r>
  <r>
    <s v="B-26742"/>
    <n v="6459"/>
    <n v="825"/>
    <n v="8"/>
    <x v="0"/>
    <s v="Phones"/>
    <x v="3"/>
    <d v="2024-09-17T00:00:00"/>
    <s v="Tony Maddox"/>
    <x v="3"/>
    <s v="San Francisco"/>
    <x v="31"/>
    <n v="12.772875058058522"/>
  </r>
  <r>
    <s v="B-25510"/>
    <n v="2478"/>
    <n v="92"/>
    <n v="12"/>
    <x v="2"/>
    <s v="Bookcases"/>
    <x v="4"/>
    <d v="2023-05-08T00:00:00"/>
    <s v="Jason Randolph"/>
    <x v="3"/>
    <s v="San Francisco"/>
    <x v="23"/>
    <n v="3.7126715092816784"/>
  </r>
  <r>
    <s v="B-25510"/>
    <n v="2478"/>
    <n v="92"/>
    <n v="12"/>
    <x v="2"/>
    <s v="Bookcases"/>
    <x v="4"/>
    <d v="2021-03-03T00:00:00"/>
    <s v="Laura Andrews"/>
    <x v="2"/>
    <s v="New York City"/>
    <x v="34"/>
    <n v="3.7126715092816784"/>
  </r>
  <r>
    <s v="B-25510"/>
    <n v="2478"/>
    <n v="92"/>
    <n v="12"/>
    <x v="2"/>
    <s v="Bookcases"/>
    <x v="4"/>
    <d v="2021-03-18T00:00:00"/>
    <s v="Mrs. Stephanie Hooper"/>
    <x v="3"/>
    <s v="San Francisco"/>
    <x v="34"/>
    <n v="3.7126715092816784"/>
  </r>
  <r>
    <s v="B-25510"/>
    <n v="2478"/>
    <n v="92"/>
    <n v="12"/>
    <x v="2"/>
    <s v="Bookcases"/>
    <x v="4"/>
    <d v="2023-04-24T00:00:00"/>
    <s v="Anthony Evans"/>
    <x v="5"/>
    <s v="Cleveland"/>
    <x v="28"/>
    <n v="3.7126715092816784"/>
  </r>
  <r>
    <s v="B-25936"/>
    <n v="9992"/>
    <n v="3696"/>
    <n v="20"/>
    <x v="1"/>
    <s v="Pens"/>
    <x v="1"/>
    <d v="2021-10-09T00:00:00"/>
    <s v="Patrick Williams"/>
    <x v="2"/>
    <s v="Rochester"/>
    <x v="4"/>
    <n v="36.989591673338673"/>
  </r>
  <r>
    <s v="B-25936"/>
    <n v="9992"/>
    <n v="3696"/>
    <n v="20"/>
    <x v="1"/>
    <s v="Pens"/>
    <x v="1"/>
    <d v="2022-04-15T00:00:00"/>
    <s v="Susan Burke"/>
    <x v="4"/>
    <s v="Austin"/>
    <x v="39"/>
    <n v="36.989591673338673"/>
  </r>
  <r>
    <s v="B-25936"/>
    <n v="9992"/>
    <n v="3696"/>
    <n v="20"/>
    <x v="1"/>
    <s v="Pens"/>
    <x v="1"/>
    <d v="2022-08-29T00:00:00"/>
    <s v="Brent Hernandez"/>
    <x v="2"/>
    <s v="Rochester"/>
    <x v="40"/>
    <n v="36.989591673338673"/>
  </r>
  <r>
    <s v="B-25936"/>
    <n v="9619"/>
    <n v="3420"/>
    <n v="7"/>
    <x v="1"/>
    <s v="Binders"/>
    <x v="0"/>
    <d v="2021-10-09T00:00:00"/>
    <s v="Patrick Williams"/>
    <x v="2"/>
    <s v="Rochester"/>
    <x v="4"/>
    <n v="35.554631458571578"/>
  </r>
  <r>
    <s v="B-25936"/>
    <n v="9619"/>
    <n v="3420"/>
    <n v="7"/>
    <x v="1"/>
    <s v="Binders"/>
    <x v="0"/>
    <d v="2022-04-15T00:00:00"/>
    <s v="Susan Burke"/>
    <x v="4"/>
    <s v="Austin"/>
    <x v="39"/>
    <n v="35.554631458571578"/>
  </r>
  <r>
    <s v="B-25936"/>
    <n v="9619"/>
    <n v="3420"/>
    <n v="7"/>
    <x v="1"/>
    <s v="Binders"/>
    <x v="0"/>
    <d v="2022-08-29T00:00:00"/>
    <s v="Brent Hernandez"/>
    <x v="2"/>
    <s v="Rochester"/>
    <x v="40"/>
    <n v="35.554631458571578"/>
  </r>
  <r>
    <s v="B-25884"/>
    <n v="9538"/>
    <n v="3158"/>
    <n v="20"/>
    <x v="0"/>
    <s v="Printers"/>
    <x v="3"/>
    <d v="2024-09-04T00:00:00"/>
    <s v="Sean Elliott"/>
    <x v="3"/>
    <s v="San Francisco"/>
    <x v="31"/>
    <n v="33.109666596770808"/>
  </r>
  <r>
    <s v="B-25884"/>
    <n v="9538"/>
    <n v="3158"/>
    <n v="20"/>
    <x v="0"/>
    <s v="Printers"/>
    <x v="3"/>
    <d v="2021-05-18T00:00:00"/>
    <s v="Wanda West"/>
    <x v="5"/>
    <s v="Cleveland"/>
    <x v="18"/>
    <n v="33.109666596770808"/>
  </r>
  <r>
    <s v="B-25884"/>
    <n v="9035"/>
    <n v="1227"/>
    <n v="14"/>
    <x v="2"/>
    <s v="Chairs"/>
    <x v="2"/>
    <d v="2024-09-04T00:00:00"/>
    <s v="Sean Elliott"/>
    <x v="3"/>
    <s v="San Francisco"/>
    <x v="31"/>
    <n v="13.580520199225235"/>
  </r>
  <r>
    <s v="B-25884"/>
    <n v="9035"/>
    <n v="1227"/>
    <n v="14"/>
    <x v="2"/>
    <s v="Chairs"/>
    <x v="2"/>
    <d v="2021-05-18T00:00:00"/>
    <s v="Wanda West"/>
    <x v="5"/>
    <s v="Cleveland"/>
    <x v="18"/>
    <n v="13.580520199225235"/>
  </r>
  <r>
    <s v="B-26287"/>
    <n v="2684"/>
    <n v="670"/>
    <n v="2"/>
    <x v="1"/>
    <s v="Paper"/>
    <x v="4"/>
    <d v="2024-07-02T00:00:00"/>
    <s v="Renee Solomon"/>
    <x v="0"/>
    <s v="Tampa"/>
    <x v="41"/>
    <n v="24.962742175856931"/>
  </r>
  <r>
    <s v="B-26287"/>
    <n v="822"/>
    <n v="147"/>
    <n v="5"/>
    <x v="2"/>
    <s v="Sofas"/>
    <x v="3"/>
    <d v="2024-07-02T00:00:00"/>
    <s v="Renee Solomon"/>
    <x v="0"/>
    <s v="Tampa"/>
    <x v="41"/>
    <n v="17.883211678832119"/>
  </r>
  <r>
    <s v="B-26287"/>
    <n v="9730"/>
    <n v="2341"/>
    <n v="2"/>
    <x v="2"/>
    <s v="Chairs"/>
    <x v="2"/>
    <d v="2024-07-02T00:00:00"/>
    <s v="Renee Solomon"/>
    <x v="0"/>
    <s v="Tampa"/>
    <x v="41"/>
    <n v="24.059609455292907"/>
  </r>
  <r>
    <s v="B-26287"/>
    <n v="2483"/>
    <n v="236"/>
    <n v="2"/>
    <x v="0"/>
    <s v="Electronic Games"/>
    <x v="4"/>
    <d v="2024-07-02T00:00:00"/>
    <s v="Renee Solomon"/>
    <x v="0"/>
    <s v="Tampa"/>
    <x v="41"/>
    <n v="9.5046314941602894"/>
  </r>
  <r>
    <s v="B-26564"/>
    <n v="1297"/>
    <n v="600"/>
    <n v="7"/>
    <x v="1"/>
    <s v="Binders"/>
    <x v="3"/>
    <d v="2024-02-16T00:00:00"/>
    <s v="Daryl Miles"/>
    <x v="0"/>
    <s v="Orlando"/>
    <x v="42"/>
    <n v="46.260601387818042"/>
  </r>
  <r>
    <s v="B-26564"/>
    <n v="7909"/>
    <n v="1942"/>
    <n v="19"/>
    <x v="0"/>
    <s v="Phones"/>
    <x v="4"/>
    <d v="2024-02-16T00:00:00"/>
    <s v="Daryl Miles"/>
    <x v="0"/>
    <s v="Orlando"/>
    <x v="42"/>
    <n v="24.554305221899103"/>
  </r>
  <r>
    <s v="B-26293"/>
    <n v="9768"/>
    <n v="4518"/>
    <n v="8"/>
    <x v="2"/>
    <s v="Tables"/>
    <x v="3"/>
    <d v="2021-11-26T00:00:00"/>
    <s v="Michael Hunt"/>
    <x v="4"/>
    <s v="Dallas"/>
    <x v="35"/>
    <n v="46.253071253071255"/>
  </r>
  <r>
    <s v="B-26293"/>
    <n v="4968"/>
    <n v="934"/>
    <n v="5"/>
    <x v="2"/>
    <s v="Sofas"/>
    <x v="1"/>
    <d v="2021-11-26T00:00:00"/>
    <s v="Michael Hunt"/>
    <x v="4"/>
    <s v="Dallas"/>
    <x v="35"/>
    <n v="18.800322061191626"/>
  </r>
  <r>
    <s v="B-26293"/>
    <n v="1731"/>
    <n v="149"/>
    <n v="4"/>
    <x v="0"/>
    <s v="Laptops"/>
    <x v="2"/>
    <d v="2021-11-26T00:00:00"/>
    <s v="Michael Hunt"/>
    <x v="4"/>
    <s v="Dallas"/>
    <x v="35"/>
    <n v="8.6077411900635479"/>
  </r>
  <r>
    <s v="B-25915"/>
    <n v="3433"/>
    <n v="1169"/>
    <n v="10"/>
    <x v="1"/>
    <s v="Binders"/>
    <x v="4"/>
    <d v="2024-02-01T00:00:00"/>
    <s v="Adam Clark"/>
    <x v="3"/>
    <s v="San Francisco"/>
    <x v="42"/>
    <n v="34.051849694145062"/>
  </r>
  <r>
    <s v="B-25915"/>
    <n v="3433"/>
    <n v="1169"/>
    <n v="10"/>
    <x v="1"/>
    <s v="Binders"/>
    <x v="4"/>
    <d v="2021-09-09T00:00:00"/>
    <s v="Amy Olsen"/>
    <x v="1"/>
    <s v="Springfield"/>
    <x v="43"/>
    <n v="34.051849694145062"/>
  </r>
  <r>
    <s v="B-25915"/>
    <n v="3433"/>
    <n v="1169"/>
    <n v="10"/>
    <x v="1"/>
    <s v="Binders"/>
    <x v="4"/>
    <d v="2021-09-08T00:00:00"/>
    <s v="Stacey Miller"/>
    <x v="3"/>
    <s v="San Diego"/>
    <x v="43"/>
    <n v="34.051849694145062"/>
  </r>
  <r>
    <s v="B-25915"/>
    <n v="3887"/>
    <n v="1490"/>
    <n v="1"/>
    <x v="1"/>
    <s v="Binders"/>
    <x v="1"/>
    <d v="2024-02-01T00:00:00"/>
    <s v="Adam Clark"/>
    <x v="3"/>
    <s v="San Francisco"/>
    <x v="42"/>
    <n v="38.33290455364034"/>
  </r>
  <r>
    <s v="B-25915"/>
    <n v="3887"/>
    <n v="1490"/>
    <n v="1"/>
    <x v="1"/>
    <s v="Binders"/>
    <x v="1"/>
    <d v="2021-09-09T00:00:00"/>
    <s v="Amy Olsen"/>
    <x v="1"/>
    <s v="Springfield"/>
    <x v="43"/>
    <n v="38.33290455364034"/>
  </r>
  <r>
    <s v="B-25915"/>
    <n v="3887"/>
    <n v="1490"/>
    <n v="1"/>
    <x v="1"/>
    <s v="Binders"/>
    <x v="1"/>
    <d v="2021-09-08T00:00:00"/>
    <s v="Stacey Miller"/>
    <x v="3"/>
    <s v="San Diego"/>
    <x v="43"/>
    <n v="38.33290455364034"/>
  </r>
  <r>
    <s v="B-26496"/>
    <n v="1801"/>
    <n v="641"/>
    <n v="20"/>
    <x v="1"/>
    <s v="Markers"/>
    <x v="3"/>
    <d v="2024-07-09T00:00:00"/>
    <s v="Daniel Mosley"/>
    <x v="3"/>
    <s v="Los Angeles"/>
    <x v="41"/>
    <n v="35.591338145474737"/>
  </r>
  <r>
    <s v="B-26496"/>
    <n v="5301"/>
    <n v="817"/>
    <n v="10"/>
    <x v="2"/>
    <s v="Tables"/>
    <x v="1"/>
    <d v="2024-07-09T00:00:00"/>
    <s v="Daniel Mosley"/>
    <x v="3"/>
    <s v="Los Angeles"/>
    <x v="41"/>
    <n v="15.412186379928317"/>
  </r>
  <r>
    <s v="B-26496"/>
    <n v="1166"/>
    <n v="520"/>
    <n v="12"/>
    <x v="1"/>
    <s v="Paper"/>
    <x v="1"/>
    <d v="2024-07-09T00:00:00"/>
    <s v="Daniel Mosley"/>
    <x v="3"/>
    <s v="Los Angeles"/>
    <x v="41"/>
    <n v="44.596912521440821"/>
  </r>
  <r>
    <s v="B-26496"/>
    <n v="3196"/>
    <n v="1411"/>
    <n v="15"/>
    <x v="1"/>
    <s v="Paper"/>
    <x v="1"/>
    <d v="2024-07-09T00:00:00"/>
    <s v="Daniel Mosley"/>
    <x v="3"/>
    <s v="Los Angeles"/>
    <x v="41"/>
    <n v="44.148936170212764"/>
  </r>
  <r>
    <s v="B-25856"/>
    <n v="3428"/>
    <n v="350"/>
    <n v="1"/>
    <x v="2"/>
    <s v="Chairs"/>
    <x v="3"/>
    <d v="2023-02-28T00:00:00"/>
    <s v="Monica Gibson"/>
    <x v="1"/>
    <s v="Springfield"/>
    <x v="14"/>
    <n v="10.210035005834307"/>
  </r>
  <r>
    <s v="B-25856"/>
    <n v="7223"/>
    <n v="2433"/>
    <n v="12"/>
    <x v="1"/>
    <s v="Binders"/>
    <x v="3"/>
    <d v="2023-02-28T00:00:00"/>
    <s v="Monica Gibson"/>
    <x v="1"/>
    <s v="Springfield"/>
    <x v="14"/>
    <n v="33.684064793022287"/>
  </r>
  <r>
    <s v="B-25856"/>
    <n v="3731"/>
    <n v="647"/>
    <n v="1"/>
    <x v="1"/>
    <s v="Pens"/>
    <x v="3"/>
    <d v="2023-02-28T00:00:00"/>
    <s v="Monica Gibson"/>
    <x v="1"/>
    <s v="Springfield"/>
    <x v="14"/>
    <n v="17.341195389975876"/>
  </r>
  <r>
    <s v="B-26899"/>
    <n v="8903"/>
    <n v="4401"/>
    <n v="18"/>
    <x v="1"/>
    <s v="Pens"/>
    <x v="3"/>
    <d v="2022-08-08T00:00:00"/>
    <s v="Christopher Jordan"/>
    <x v="5"/>
    <s v="Columbus"/>
    <x v="40"/>
    <n v="49.432775468943049"/>
  </r>
  <r>
    <s v="B-25916"/>
    <n v="6009"/>
    <n v="2107"/>
    <n v="7"/>
    <x v="0"/>
    <s v="Phones"/>
    <x v="0"/>
    <d v="2022-12-07T00:00:00"/>
    <s v="Christina Davis"/>
    <x v="1"/>
    <s v="Chicago"/>
    <x v="29"/>
    <n v="35.064070560825428"/>
  </r>
  <r>
    <s v="B-25916"/>
    <n v="6009"/>
    <n v="2107"/>
    <n v="7"/>
    <x v="0"/>
    <s v="Phones"/>
    <x v="0"/>
    <d v="2024-04-29T00:00:00"/>
    <s v="Claudia Curry"/>
    <x v="4"/>
    <s v="Austin"/>
    <x v="44"/>
    <n v="35.064070560825428"/>
  </r>
  <r>
    <s v="B-25916"/>
    <n v="2858"/>
    <n v="230"/>
    <n v="3"/>
    <x v="2"/>
    <s v="Tables"/>
    <x v="3"/>
    <d v="2022-12-07T00:00:00"/>
    <s v="Christina Davis"/>
    <x v="1"/>
    <s v="Chicago"/>
    <x v="29"/>
    <n v="8.0475857242827153"/>
  </r>
  <r>
    <s v="B-25916"/>
    <n v="2858"/>
    <n v="230"/>
    <n v="3"/>
    <x v="2"/>
    <s v="Tables"/>
    <x v="3"/>
    <d v="2024-04-29T00:00:00"/>
    <s v="Claudia Curry"/>
    <x v="4"/>
    <s v="Austin"/>
    <x v="44"/>
    <n v="8.0475857242827153"/>
  </r>
  <r>
    <s v="B-25916"/>
    <n v="8175"/>
    <n v="525"/>
    <n v="7"/>
    <x v="2"/>
    <s v="Sofas"/>
    <x v="3"/>
    <d v="2022-12-07T00:00:00"/>
    <s v="Christina Davis"/>
    <x v="1"/>
    <s v="Chicago"/>
    <x v="29"/>
    <n v="6.4220183486238538"/>
  </r>
  <r>
    <s v="B-25916"/>
    <n v="8175"/>
    <n v="525"/>
    <n v="7"/>
    <x v="2"/>
    <s v="Sofas"/>
    <x v="3"/>
    <d v="2024-04-29T00:00:00"/>
    <s v="Claudia Curry"/>
    <x v="4"/>
    <s v="Austin"/>
    <x v="44"/>
    <n v="6.4220183486238538"/>
  </r>
  <r>
    <s v="B-25916"/>
    <n v="5846"/>
    <n v="586"/>
    <n v="18"/>
    <x v="2"/>
    <s v="Sofas"/>
    <x v="0"/>
    <d v="2022-12-07T00:00:00"/>
    <s v="Christina Davis"/>
    <x v="1"/>
    <s v="Chicago"/>
    <x v="29"/>
    <n v="10.023947998631542"/>
  </r>
  <r>
    <s v="B-25916"/>
    <n v="5846"/>
    <n v="586"/>
    <n v="18"/>
    <x v="2"/>
    <s v="Sofas"/>
    <x v="0"/>
    <d v="2024-04-29T00:00:00"/>
    <s v="Claudia Curry"/>
    <x v="4"/>
    <s v="Austin"/>
    <x v="44"/>
    <n v="10.023947998631542"/>
  </r>
  <r>
    <s v="B-26428"/>
    <n v="706"/>
    <n v="197"/>
    <n v="11"/>
    <x v="0"/>
    <s v="Laptops"/>
    <x v="3"/>
    <d v="2022-01-02T00:00:00"/>
    <s v="Brandon Anderson"/>
    <x v="4"/>
    <s v="Austin"/>
    <x v="12"/>
    <n v="27.90368271954674"/>
  </r>
  <r>
    <s v="B-26332"/>
    <n v="9835"/>
    <n v="2571"/>
    <n v="16"/>
    <x v="2"/>
    <s v="Tables"/>
    <x v="4"/>
    <d v="2022-06-10T00:00:00"/>
    <s v="George Foster"/>
    <x v="4"/>
    <s v="Dallas"/>
    <x v="33"/>
    <n v="26.141331977630912"/>
  </r>
  <r>
    <s v="B-26332"/>
    <n v="9835"/>
    <n v="2571"/>
    <n v="16"/>
    <x v="2"/>
    <s v="Tables"/>
    <x v="4"/>
    <d v="2021-11-16T00:00:00"/>
    <s v="Nicholas Anderson"/>
    <x v="0"/>
    <s v="Orlando"/>
    <x v="35"/>
    <n v="26.141331977630912"/>
  </r>
  <r>
    <s v="B-26332"/>
    <n v="9835"/>
    <n v="2571"/>
    <n v="16"/>
    <x v="2"/>
    <s v="Tables"/>
    <x v="4"/>
    <d v="2022-08-17T00:00:00"/>
    <s v="Emily Ellison"/>
    <x v="3"/>
    <s v="Los Angeles"/>
    <x v="40"/>
    <n v="26.141331977630912"/>
  </r>
  <r>
    <s v="B-26332"/>
    <n v="9691"/>
    <n v="3056"/>
    <n v="13"/>
    <x v="1"/>
    <s v="Markers"/>
    <x v="3"/>
    <d v="2022-06-10T00:00:00"/>
    <s v="George Foster"/>
    <x v="4"/>
    <s v="Dallas"/>
    <x v="33"/>
    <n v="31.534413373232894"/>
  </r>
  <r>
    <s v="B-26332"/>
    <n v="9691"/>
    <n v="3056"/>
    <n v="13"/>
    <x v="1"/>
    <s v="Markers"/>
    <x v="3"/>
    <d v="2021-11-16T00:00:00"/>
    <s v="Nicholas Anderson"/>
    <x v="0"/>
    <s v="Orlando"/>
    <x v="35"/>
    <n v="31.534413373232894"/>
  </r>
  <r>
    <s v="B-26332"/>
    <n v="9691"/>
    <n v="3056"/>
    <n v="13"/>
    <x v="1"/>
    <s v="Markers"/>
    <x v="3"/>
    <d v="2022-08-17T00:00:00"/>
    <s v="Emily Ellison"/>
    <x v="3"/>
    <s v="Los Angeles"/>
    <x v="40"/>
    <n v="31.534413373232894"/>
  </r>
  <r>
    <s v="B-26332"/>
    <n v="7826"/>
    <n v="1221"/>
    <n v="14"/>
    <x v="2"/>
    <s v="Bookcases"/>
    <x v="0"/>
    <d v="2022-06-10T00:00:00"/>
    <s v="George Foster"/>
    <x v="4"/>
    <s v="Dallas"/>
    <x v="33"/>
    <n v="15.601840020444671"/>
  </r>
  <r>
    <s v="B-26332"/>
    <n v="7826"/>
    <n v="1221"/>
    <n v="14"/>
    <x v="2"/>
    <s v="Bookcases"/>
    <x v="0"/>
    <d v="2021-11-16T00:00:00"/>
    <s v="Nicholas Anderson"/>
    <x v="0"/>
    <s v="Orlando"/>
    <x v="35"/>
    <n v="15.601840020444671"/>
  </r>
  <r>
    <s v="B-26332"/>
    <n v="7826"/>
    <n v="1221"/>
    <n v="14"/>
    <x v="2"/>
    <s v="Bookcases"/>
    <x v="0"/>
    <d v="2022-08-17T00:00:00"/>
    <s v="Emily Ellison"/>
    <x v="3"/>
    <s v="Los Angeles"/>
    <x v="40"/>
    <n v="15.601840020444671"/>
  </r>
  <r>
    <s v="B-25303"/>
    <n v="770"/>
    <n v="241"/>
    <n v="11"/>
    <x v="2"/>
    <s v="Sofas"/>
    <x v="4"/>
    <d v="2021-11-23T00:00:00"/>
    <s v="Darren Perez"/>
    <x v="4"/>
    <s v="Austin"/>
    <x v="35"/>
    <n v="31.2987012987013"/>
  </r>
  <r>
    <s v="B-25303"/>
    <n v="770"/>
    <n v="241"/>
    <n v="11"/>
    <x v="2"/>
    <s v="Sofas"/>
    <x v="4"/>
    <d v="2023-03-04T00:00:00"/>
    <s v="Michelle Hunter"/>
    <x v="5"/>
    <s v="Cincinnati"/>
    <x v="45"/>
    <n v="31.2987012987013"/>
  </r>
  <r>
    <s v="B-26507"/>
    <n v="9895"/>
    <n v="1598"/>
    <n v="20"/>
    <x v="2"/>
    <s v="Bookcases"/>
    <x v="4"/>
    <d v="2023-12-16T00:00:00"/>
    <s v="Janet Guerrero"/>
    <x v="2"/>
    <s v="Rochester"/>
    <x v="16"/>
    <n v="16.149570490146541"/>
  </r>
  <r>
    <s v="B-25983"/>
    <n v="6517"/>
    <n v="1581"/>
    <n v="10"/>
    <x v="1"/>
    <s v="Paper"/>
    <x v="1"/>
    <d v="2024-05-19T00:00:00"/>
    <s v="Jeffrey Kline"/>
    <x v="0"/>
    <s v="Miami"/>
    <x v="3"/>
    <n v="24.259628663495473"/>
  </r>
  <r>
    <s v="B-25983"/>
    <n v="6517"/>
    <n v="1581"/>
    <n v="10"/>
    <x v="1"/>
    <s v="Paper"/>
    <x v="1"/>
    <d v="2020-05-14T00:00:00"/>
    <s v="Ryan Bullock"/>
    <x v="0"/>
    <s v="Tampa"/>
    <x v="8"/>
    <n v="24.259628663495473"/>
  </r>
  <r>
    <s v="B-25983"/>
    <n v="1166"/>
    <n v="349"/>
    <n v="11"/>
    <x v="2"/>
    <s v="Tables"/>
    <x v="3"/>
    <d v="2024-05-19T00:00:00"/>
    <s v="Jeffrey Kline"/>
    <x v="0"/>
    <s v="Miami"/>
    <x v="3"/>
    <n v="29.931389365351631"/>
  </r>
  <r>
    <s v="B-25983"/>
    <n v="1166"/>
    <n v="349"/>
    <n v="11"/>
    <x v="2"/>
    <s v="Tables"/>
    <x v="3"/>
    <d v="2020-05-14T00:00:00"/>
    <s v="Ryan Bullock"/>
    <x v="0"/>
    <s v="Tampa"/>
    <x v="8"/>
    <n v="29.931389365351631"/>
  </r>
  <r>
    <s v="B-25156"/>
    <n v="9820"/>
    <n v="793"/>
    <n v="16"/>
    <x v="2"/>
    <s v="Chairs"/>
    <x v="3"/>
    <d v="2021-08-29T00:00:00"/>
    <s v="Tom Lawson"/>
    <x v="2"/>
    <s v="Buffalo"/>
    <x v="36"/>
    <n v="8.0753564154786162"/>
  </r>
  <r>
    <s v="B-26759"/>
    <n v="8563"/>
    <n v="2624"/>
    <n v="8"/>
    <x v="1"/>
    <s v="Binders"/>
    <x v="4"/>
    <d v="2024-11-10T00:00:00"/>
    <s v="Rebecca Smith"/>
    <x v="4"/>
    <s v="Dallas"/>
    <x v="46"/>
    <n v="30.643466074973723"/>
  </r>
  <r>
    <s v="B-26759"/>
    <n v="4441"/>
    <n v="281"/>
    <n v="20"/>
    <x v="0"/>
    <s v="Printers"/>
    <x v="4"/>
    <d v="2024-11-10T00:00:00"/>
    <s v="Rebecca Smith"/>
    <x v="4"/>
    <s v="Dallas"/>
    <x v="46"/>
    <n v="6.3274037378968693"/>
  </r>
  <r>
    <s v="B-26244"/>
    <n v="7340"/>
    <n v="2271"/>
    <n v="8"/>
    <x v="1"/>
    <s v="Paper"/>
    <x v="2"/>
    <d v="2021-12-05T00:00:00"/>
    <s v="William Welch"/>
    <x v="0"/>
    <s v="Orlando"/>
    <x v="13"/>
    <n v="30.940054495912804"/>
  </r>
  <r>
    <s v="B-26244"/>
    <n v="5442"/>
    <n v="1610"/>
    <n v="1"/>
    <x v="0"/>
    <s v="Phones"/>
    <x v="2"/>
    <d v="2021-12-05T00:00:00"/>
    <s v="William Welch"/>
    <x v="0"/>
    <s v="Orlando"/>
    <x v="13"/>
    <n v="29.584711503123849"/>
  </r>
  <r>
    <s v="B-26365"/>
    <n v="1895"/>
    <n v="391"/>
    <n v="14"/>
    <x v="2"/>
    <s v="Tables"/>
    <x v="0"/>
    <d v="2024-07-05T00:00:00"/>
    <s v="Mr. Curtis Bailey"/>
    <x v="0"/>
    <s v="Tampa"/>
    <x v="41"/>
    <n v="20.633245382585752"/>
  </r>
  <r>
    <s v="B-26365"/>
    <n v="5323"/>
    <n v="322"/>
    <n v="13"/>
    <x v="1"/>
    <s v="Binders"/>
    <x v="4"/>
    <d v="2024-07-05T00:00:00"/>
    <s v="Mr. Curtis Bailey"/>
    <x v="0"/>
    <s v="Tampa"/>
    <x v="41"/>
    <n v="6.0492203644561338"/>
  </r>
  <r>
    <s v="B-26212"/>
    <n v="8850"/>
    <n v="279"/>
    <n v="13"/>
    <x v="1"/>
    <s v="Markers"/>
    <x v="1"/>
    <d v="2024-06-25T00:00:00"/>
    <s v="Janet Carlson"/>
    <x v="0"/>
    <s v="Miami"/>
    <x v="47"/>
    <n v="3.1525423728813564"/>
  </r>
  <r>
    <s v="B-26212"/>
    <n v="8667"/>
    <n v="1266"/>
    <n v="6"/>
    <x v="1"/>
    <s v="Paper"/>
    <x v="1"/>
    <d v="2024-06-25T00:00:00"/>
    <s v="Janet Carlson"/>
    <x v="0"/>
    <s v="Miami"/>
    <x v="47"/>
    <n v="14.607130494980963"/>
  </r>
  <r>
    <s v="B-25042"/>
    <n v="6903"/>
    <n v="105"/>
    <n v="1"/>
    <x v="2"/>
    <s v="Tables"/>
    <x v="4"/>
    <d v="2024-05-31T00:00:00"/>
    <s v="Spencer Spears"/>
    <x v="1"/>
    <s v="Chicago"/>
    <x v="3"/>
    <n v="1.5210777922642329"/>
  </r>
  <r>
    <s v="B-25042"/>
    <n v="8793"/>
    <n v="3010"/>
    <n v="7"/>
    <x v="1"/>
    <s v="Pens"/>
    <x v="4"/>
    <d v="2024-05-31T00:00:00"/>
    <s v="Spencer Spears"/>
    <x v="1"/>
    <s v="Chicago"/>
    <x v="3"/>
    <n v="34.231775275787555"/>
  </r>
  <r>
    <s v="B-25901"/>
    <n v="9883"/>
    <n v="4812"/>
    <n v="16"/>
    <x v="1"/>
    <s v="Paper"/>
    <x v="0"/>
    <d v="2020-10-20T00:00:00"/>
    <s v="Jeffrey Middleton"/>
    <x v="2"/>
    <s v="Buffalo"/>
    <x v="20"/>
    <n v="48.689669128807047"/>
  </r>
  <r>
    <s v="B-25901"/>
    <n v="9883"/>
    <n v="4812"/>
    <n v="16"/>
    <x v="1"/>
    <s v="Paper"/>
    <x v="0"/>
    <d v="2022-08-11T00:00:00"/>
    <s v="Veronica Kelley"/>
    <x v="0"/>
    <s v="Orlando"/>
    <x v="40"/>
    <n v="48.689669128807047"/>
  </r>
  <r>
    <s v="B-25901"/>
    <n v="9883"/>
    <n v="4812"/>
    <n v="16"/>
    <x v="1"/>
    <s v="Paper"/>
    <x v="0"/>
    <d v="2021-10-17T00:00:00"/>
    <s v="Leslie Bean"/>
    <x v="1"/>
    <s v="Springfield"/>
    <x v="4"/>
    <n v="48.689669128807047"/>
  </r>
  <r>
    <s v="B-25901"/>
    <n v="5210"/>
    <n v="1185"/>
    <n v="7"/>
    <x v="1"/>
    <s v="Paper"/>
    <x v="0"/>
    <d v="2020-10-20T00:00:00"/>
    <s v="Jeffrey Middleton"/>
    <x v="2"/>
    <s v="Buffalo"/>
    <x v="20"/>
    <n v="22.744721689059503"/>
  </r>
  <r>
    <s v="B-25901"/>
    <n v="5210"/>
    <n v="1185"/>
    <n v="7"/>
    <x v="1"/>
    <s v="Paper"/>
    <x v="0"/>
    <d v="2022-08-11T00:00:00"/>
    <s v="Veronica Kelley"/>
    <x v="0"/>
    <s v="Orlando"/>
    <x v="40"/>
    <n v="22.744721689059503"/>
  </r>
  <r>
    <s v="B-25901"/>
    <n v="5210"/>
    <n v="1185"/>
    <n v="7"/>
    <x v="1"/>
    <s v="Paper"/>
    <x v="0"/>
    <d v="2021-10-17T00:00:00"/>
    <s v="Leslie Bean"/>
    <x v="1"/>
    <s v="Springfield"/>
    <x v="4"/>
    <n v="22.744721689059503"/>
  </r>
  <r>
    <s v="B-26747"/>
    <n v="3574"/>
    <n v="851"/>
    <n v="4"/>
    <x v="0"/>
    <s v="Printers"/>
    <x v="3"/>
    <d v="2022-02-23T00:00:00"/>
    <s v="Amy Wilson"/>
    <x v="3"/>
    <s v="Los Angeles"/>
    <x v="26"/>
    <n v="23.810856183547845"/>
  </r>
  <r>
    <s v="B-26747"/>
    <n v="576"/>
    <n v="76"/>
    <n v="13"/>
    <x v="2"/>
    <s v="Sofas"/>
    <x v="0"/>
    <d v="2022-02-23T00:00:00"/>
    <s v="Amy Wilson"/>
    <x v="3"/>
    <s v="Los Angeles"/>
    <x v="26"/>
    <n v="13.194444444444445"/>
  </r>
  <r>
    <s v="B-26698"/>
    <n v="1860"/>
    <n v="457"/>
    <n v="13"/>
    <x v="0"/>
    <s v="Printers"/>
    <x v="2"/>
    <d v="2023-09-20T00:00:00"/>
    <s v="Susan Ramirez"/>
    <x v="5"/>
    <s v="Cleveland"/>
    <x v="48"/>
    <n v="24.56989247311828"/>
  </r>
  <r>
    <s v="B-25841"/>
    <n v="782"/>
    <n v="374"/>
    <n v="8"/>
    <x v="1"/>
    <s v="Pens"/>
    <x v="2"/>
    <d v="2021-01-19T00:00:00"/>
    <s v="Jacob Meyer"/>
    <x v="1"/>
    <s v="Peoria"/>
    <x v="49"/>
    <n v="47.826086956521742"/>
  </r>
  <r>
    <s v="B-25841"/>
    <n v="4371"/>
    <n v="1852"/>
    <n v="1"/>
    <x v="0"/>
    <s v="Laptops"/>
    <x v="0"/>
    <d v="2021-01-19T00:00:00"/>
    <s v="Jacob Meyer"/>
    <x v="1"/>
    <s v="Peoria"/>
    <x v="49"/>
    <n v="42.370167009837566"/>
  </r>
  <r>
    <s v="B-26032"/>
    <n v="8346"/>
    <n v="1176"/>
    <n v="1"/>
    <x v="0"/>
    <s v="Phones"/>
    <x v="4"/>
    <d v="2020-08-21T00:00:00"/>
    <s v="Scott Lewis"/>
    <x v="4"/>
    <s v="Houston"/>
    <x v="38"/>
    <n v="14.090582314881381"/>
  </r>
  <r>
    <s v="B-26032"/>
    <n v="8346"/>
    <n v="1176"/>
    <n v="1"/>
    <x v="0"/>
    <s v="Phones"/>
    <x v="4"/>
    <d v="2023-04-17T00:00:00"/>
    <s v="Eric Griffith"/>
    <x v="1"/>
    <s v="Chicago"/>
    <x v="28"/>
    <n v="14.090582314881381"/>
  </r>
  <r>
    <s v="B-26032"/>
    <n v="8346"/>
    <n v="1176"/>
    <n v="1"/>
    <x v="0"/>
    <s v="Phones"/>
    <x v="4"/>
    <d v="2023-12-24T00:00:00"/>
    <s v="Anna Ferguson"/>
    <x v="3"/>
    <s v="San Francisco"/>
    <x v="16"/>
    <n v="14.090582314881381"/>
  </r>
  <r>
    <s v="B-26032"/>
    <n v="6218"/>
    <n v="1125"/>
    <n v="5"/>
    <x v="2"/>
    <s v="Tables"/>
    <x v="1"/>
    <d v="2020-08-21T00:00:00"/>
    <s v="Scott Lewis"/>
    <x v="4"/>
    <s v="Houston"/>
    <x v="38"/>
    <n v="18.092634287552269"/>
  </r>
  <r>
    <s v="B-26032"/>
    <n v="6218"/>
    <n v="1125"/>
    <n v="5"/>
    <x v="2"/>
    <s v="Tables"/>
    <x v="1"/>
    <d v="2023-04-17T00:00:00"/>
    <s v="Eric Griffith"/>
    <x v="1"/>
    <s v="Chicago"/>
    <x v="28"/>
    <n v="18.092634287552269"/>
  </r>
  <r>
    <s v="B-26032"/>
    <n v="6218"/>
    <n v="1125"/>
    <n v="5"/>
    <x v="2"/>
    <s v="Tables"/>
    <x v="1"/>
    <d v="2023-12-24T00:00:00"/>
    <s v="Anna Ferguson"/>
    <x v="3"/>
    <s v="San Francisco"/>
    <x v="16"/>
    <n v="18.092634287552269"/>
  </r>
  <r>
    <s v="B-26032"/>
    <n v="5167"/>
    <n v="253"/>
    <n v="14"/>
    <x v="0"/>
    <s v="Printers"/>
    <x v="3"/>
    <d v="2020-08-21T00:00:00"/>
    <s v="Scott Lewis"/>
    <x v="4"/>
    <s v="Houston"/>
    <x v="38"/>
    <n v="4.896458293013354"/>
  </r>
  <r>
    <s v="B-26032"/>
    <n v="5167"/>
    <n v="253"/>
    <n v="14"/>
    <x v="0"/>
    <s v="Printers"/>
    <x v="3"/>
    <d v="2023-04-17T00:00:00"/>
    <s v="Eric Griffith"/>
    <x v="1"/>
    <s v="Chicago"/>
    <x v="28"/>
    <n v="4.896458293013354"/>
  </r>
  <r>
    <s v="B-26032"/>
    <n v="5167"/>
    <n v="253"/>
    <n v="14"/>
    <x v="0"/>
    <s v="Printers"/>
    <x v="3"/>
    <d v="2023-12-24T00:00:00"/>
    <s v="Anna Ferguson"/>
    <x v="3"/>
    <s v="San Francisco"/>
    <x v="16"/>
    <n v="4.896458293013354"/>
  </r>
  <r>
    <s v="B-26032"/>
    <n v="2799"/>
    <n v="1239"/>
    <n v="5"/>
    <x v="2"/>
    <s v="Sofas"/>
    <x v="1"/>
    <d v="2020-08-21T00:00:00"/>
    <s v="Scott Lewis"/>
    <x v="4"/>
    <s v="Houston"/>
    <x v="38"/>
    <n v="44.265809217577704"/>
  </r>
  <r>
    <s v="B-26032"/>
    <n v="2799"/>
    <n v="1239"/>
    <n v="5"/>
    <x v="2"/>
    <s v="Sofas"/>
    <x v="1"/>
    <d v="2023-04-17T00:00:00"/>
    <s v="Eric Griffith"/>
    <x v="1"/>
    <s v="Chicago"/>
    <x v="28"/>
    <n v="44.265809217577704"/>
  </r>
  <r>
    <s v="B-26032"/>
    <n v="2799"/>
    <n v="1239"/>
    <n v="5"/>
    <x v="2"/>
    <s v="Sofas"/>
    <x v="1"/>
    <d v="2023-12-24T00:00:00"/>
    <s v="Anna Ferguson"/>
    <x v="3"/>
    <s v="San Francisco"/>
    <x v="16"/>
    <n v="44.265809217577704"/>
  </r>
  <r>
    <s v="B-25171"/>
    <n v="3234"/>
    <n v="1029"/>
    <n v="20"/>
    <x v="1"/>
    <s v="Markers"/>
    <x v="3"/>
    <d v="2022-03-20T00:00:00"/>
    <s v="David Figueroa"/>
    <x v="0"/>
    <s v="Miami"/>
    <x v="25"/>
    <n v="31.818181818181817"/>
  </r>
  <r>
    <s v="B-26939"/>
    <n v="4920"/>
    <n v="775"/>
    <n v="12"/>
    <x v="2"/>
    <s v="Tables"/>
    <x v="1"/>
    <d v="2021-08-12T00:00:00"/>
    <s v="Theresa Medina"/>
    <x v="1"/>
    <s v="Springfield"/>
    <x v="36"/>
    <n v="15.752032520325205"/>
  </r>
  <r>
    <s v="B-26939"/>
    <n v="9078"/>
    <n v="2213"/>
    <n v="15"/>
    <x v="2"/>
    <s v="Bookcases"/>
    <x v="2"/>
    <d v="2021-08-12T00:00:00"/>
    <s v="Theresa Medina"/>
    <x v="1"/>
    <s v="Springfield"/>
    <x v="36"/>
    <n v="24.377616215025334"/>
  </r>
  <r>
    <s v="B-26347"/>
    <n v="8586"/>
    <n v="3826"/>
    <n v="7"/>
    <x v="2"/>
    <s v="Bookcases"/>
    <x v="0"/>
    <d v="2020-12-21T00:00:00"/>
    <s v="Mary Smith"/>
    <x v="0"/>
    <s v="Miami"/>
    <x v="50"/>
    <n v="44.560913114372234"/>
  </r>
  <r>
    <s v="B-26347"/>
    <n v="8586"/>
    <n v="3826"/>
    <n v="7"/>
    <x v="2"/>
    <s v="Bookcases"/>
    <x v="0"/>
    <d v="2023-07-07T00:00:00"/>
    <s v="Lance Cain"/>
    <x v="0"/>
    <s v="Tampa"/>
    <x v="17"/>
    <n v="44.560913114372234"/>
  </r>
  <r>
    <s v="B-25388"/>
    <n v="5047"/>
    <n v="2211"/>
    <n v="13"/>
    <x v="2"/>
    <s v="Sofas"/>
    <x v="2"/>
    <d v="2023-08-13T00:00:00"/>
    <s v="Alexandra Moran"/>
    <x v="3"/>
    <s v="San Francisco"/>
    <x v="21"/>
    <n v="43.808202892807607"/>
  </r>
  <r>
    <s v="B-25388"/>
    <n v="5047"/>
    <n v="2211"/>
    <n v="13"/>
    <x v="2"/>
    <s v="Sofas"/>
    <x v="2"/>
    <d v="2021-02-04T00:00:00"/>
    <s v="Sara Castro"/>
    <x v="1"/>
    <s v="Chicago"/>
    <x v="51"/>
    <n v="43.808202892807607"/>
  </r>
  <r>
    <s v="B-25388"/>
    <n v="5047"/>
    <n v="2211"/>
    <n v="13"/>
    <x v="2"/>
    <s v="Sofas"/>
    <x v="2"/>
    <d v="2022-09-16T00:00:00"/>
    <s v="Shawn Leach"/>
    <x v="1"/>
    <s v="Peoria"/>
    <x v="24"/>
    <n v="43.808202892807607"/>
  </r>
  <r>
    <s v="B-25388"/>
    <n v="5047"/>
    <n v="2211"/>
    <n v="13"/>
    <x v="2"/>
    <s v="Sofas"/>
    <x v="2"/>
    <d v="2022-05-06T00:00:00"/>
    <s v="Mark Boyle"/>
    <x v="2"/>
    <s v="Buffalo"/>
    <x v="37"/>
    <n v="43.808202892807607"/>
  </r>
  <r>
    <s v="B-26419"/>
    <n v="3657"/>
    <n v="163"/>
    <n v="1"/>
    <x v="2"/>
    <s v="Sofas"/>
    <x v="0"/>
    <d v="2021-05-28T00:00:00"/>
    <s v="John Stevens"/>
    <x v="3"/>
    <s v="San Francisco"/>
    <x v="18"/>
    <n v="4.4572053595843588"/>
  </r>
  <r>
    <s v="B-25157"/>
    <n v="6471"/>
    <n v="2842"/>
    <n v="18"/>
    <x v="0"/>
    <s v="Electronic Games"/>
    <x v="0"/>
    <d v="2024-07-18T00:00:00"/>
    <s v="Lisa Graham"/>
    <x v="1"/>
    <s v="Peoria"/>
    <x v="41"/>
    <n v="43.919023334878688"/>
  </r>
  <r>
    <s v="B-25342"/>
    <n v="949"/>
    <n v="301"/>
    <n v="9"/>
    <x v="1"/>
    <s v="Binders"/>
    <x v="0"/>
    <d v="2024-12-06T00:00:00"/>
    <s v="Nancy Jones"/>
    <x v="5"/>
    <s v="Cleveland"/>
    <x v="1"/>
    <n v="31.717597471022131"/>
  </r>
  <r>
    <s v="B-25342"/>
    <n v="6823"/>
    <n v="771"/>
    <n v="6"/>
    <x v="1"/>
    <s v="Binders"/>
    <x v="2"/>
    <d v="2024-12-06T00:00:00"/>
    <s v="Nancy Jones"/>
    <x v="5"/>
    <s v="Cleveland"/>
    <x v="1"/>
    <n v="11.300014656309541"/>
  </r>
  <r>
    <s v="B-25342"/>
    <n v="4364"/>
    <n v="831"/>
    <n v="2"/>
    <x v="2"/>
    <s v="Tables"/>
    <x v="2"/>
    <d v="2024-12-06T00:00:00"/>
    <s v="Nancy Jones"/>
    <x v="5"/>
    <s v="Cleveland"/>
    <x v="1"/>
    <n v="19.042163153070575"/>
  </r>
  <r>
    <s v="B-26165"/>
    <n v="6671"/>
    <n v="2797"/>
    <n v="10"/>
    <x v="0"/>
    <s v="Phones"/>
    <x v="0"/>
    <d v="2022-12-12T00:00:00"/>
    <s v="Darryl Robbins"/>
    <x v="1"/>
    <s v="Peoria"/>
    <x v="29"/>
    <n v="41.927746964473094"/>
  </r>
  <r>
    <s v="B-26571"/>
    <n v="7472"/>
    <n v="1037"/>
    <n v="3"/>
    <x v="1"/>
    <s v="Paper"/>
    <x v="4"/>
    <d v="2022-10-20T00:00:00"/>
    <s v="Kimberly Smith"/>
    <x v="1"/>
    <s v="Springfield"/>
    <x v="15"/>
    <n v="13.878479657387579"/>
  </r>
  <r>
    <s v="B-26571"/>
    <n v="9548"/>
    <n v="1806"/>
    <n v="9"/>
    <x v="0"/>
    <s v="Printers"/>
    <x v="4"/>
    <d v="2022-10-20T00:00:00"/>
    <s v="Kimberly Smith"/>
    <x v="1"/>
    <s v="Springfield"/>
    <x v="15"/>
    <n v="18.914956011730204"/>
  </r>
  <r>
    <s v="B-25400"/>
    <n v="7759"/>
    <n v="3741"/>
    <n v="17"/>
    <x v="0"/>
    <s v="Printers"/>
    <x v="0"/>
    <d v="2021-03-24T00:00:00"/>
    <s v="Maria Thomas"/>
    <x v="0"/>
    <s v="Miami"/>
    <x v="34"/>
    <n v="48.214976156721228"/>
  </r>
  <r>
    <s v="B-25400"/>
    <n v="7759"/>
    <n v="3741"/>
    <n v="17"/>
    <x v="0"/>
    <s v="Printers"/>
    <x v="0"/>
    <d v="2025-01-06T00:00:00"/>
    <s v="Nicholas Johnson"/>
    <x v="4"/>
    <s v="Dallas"/>
    <x v="52"/>
    <n v="48.214976156721228"/>
  </r>
  <r>
    <s v="B-25400"/>
    <n v="7521"/>
    <n v="3457"/>
    <n v="16"/>
    <x v="1"/>
    <s v="Markers"/>
    <x v="1"/>
    <d v="2021-03-24T00:00:00"/>
    <s v="Maria Thomas"/>
    <x v="0"/>
    <s v="Miami"/>
    <x v="34"/>
    <n v="45.964632362717722"/>
  </r>
  <r>
    <s v="B-25400"/>
    <n v="7521"/>
    <n v="3457"/>
    <n v="16"/>
    <x v="1"/>
    <s v="Markers"/>
    <x v="1"/>
    <d v="2025-01-06T00:00:00"/>
    <s v="Nicholas Johnson"/>
    <x v="4"/>
    <s v="Dallas"/>
    <x v="52"/>
    <n v="45.964632362717722"/>
  </r>
  <r>
    <s v="B-25885"/>
    <n v="9704"/>
    <n v="4339"/>
    <n v="12"/>
    <x v="1"/>
    <s v="Pens"/>
    <x v="4"/>
    <d v="2021-03-06T00:00:00"/>
    <s v="Dawn Howard"/>
    <x v="4"/>
    <s v="Houston"/>
    <x v="34"/>
    <n v="44.713520197856553"/>
  </r>
  <r>
    <s v="B-25885"/>
    <n v="4948"/>
    <n v="2356"/>
    <n v="18"/>
    <x v="0"/>
    <s v="Printers"/>
    <x v="1"/>
    <d v="2021-03-06T00:00:00"/>
    <s v="Dawn Howard"/>
    <x v="4"/>
    <s v="Houston"/>
    <x v="34"/>
    <n v="47.615198059822148"/>
  </r>
  <r>
    <s v="B-25885"/>
    <n v="6435"/>
    <n v="334"/>
    <n v="10"/>
    <x v="0"/>
    <s v="Electronic Games"/>
    <x v="1"/>
    <d v="2021-03-06T00:00:00"/>
    <s v="Dawn Howard"/>
    <x v="4"/>
    <s v="Houston"/>
    <x v="34"/>
    <n v="5.1903651903651902"/>
  </r>
  <r>
    <s v="B-25004"/>
    <n v="9965"/>
    <n v="3033"/>
    <n v="16"/>
    <x v="1"/>
    <s v="Markers"/>
    <x v="4"/>
    <d v="2020-06-17T00:00:00"/>
    <s v="Jennifer Marshall"/>
    <x v="3"/>
    <s v="San Francisco"/>
    <x v="53"/>
    <n v="30.436527847466131"/>
  </r>
  <r>
    <s v="B-25004"/>
    <n v="9965"/>
    <n v="3033"/>
    <n v="16"/>
    <x v="1"/>
    <s v="Markers"/>
    <x v="4"/>
    <d v="2023-09-01T00:00:00"/>
    <s v="Frank Garcia"/>
    <x v="2"/>
    <s v="Buffalo"/>
    <x v="48"/>
    <n v="30.436527847466131"/>
  </r>
  <r>
    <s v="B-26213"/>
    <n v="1523"/>
    <n v="234"/>
    <n v="3"/>
    <x v="2"/>
    <s v="Sofas"/>
    <x v="0"/>
    <d v="2023-06-08T00:00:00"/>
    <s v="Terri Madden"/>
    <x v="2"/>
    <s v="Rochester"/>
    <x v="0"/>
    <n v="15.364412344057781"/>
  </r>
  <r>
    <s v="B-26213"/>
    <n v="9073"/>
    <n v="424"/>
    <n v="7"/>
    <x v="0"/>
    <s v="Electronic Games"/>
    <x v="1"/>
    <d v="2023-06-08T00:00:00"/>
    <s v="Terri Madden"/>
    <x v="2"/>
    <s v="Rochester"/>
    <x v="0"/>
    <n v="4.6732062162460046"/>
  </r>
  <r>
    <s v="B-25025"/>
    <n v="6447"/>
    <n v="3079"/>
    <n v="20"/>
    <x v="0"/>
    <s v="Laptops"/>
    <x v="4"/>
    <d v="2021-03-25T00:00:00"/>
    <s v="James Gutierrez"/>
    <x v="2"/>
    <s v="Rochester"/>
    <x v="34"/>
    <n v="47.758647432914536"/>
  </r>
  <r>
    <s v="B-25025"/>
    <n v="8947"/>
    <n v="2807"/>
    <n v="6"/>
    <x v="0"/>
    <s v="Electronic Games"/>
    <x v="3"/>
    <d v="2021-03-25T00:00:00"/>
    <s v="James Gutierrez"/>
    <x v="2"/>
    <s v="Rochester"/>
    <x v="34"/>
    <n v="31.373644797138706"/>
  </r>
  <r>
    <s v="B-26804"/>
    <n v="914"/>
    <n v="400"/>
    <n v="8"/>
    <x v="1"/>
    <s v="Pens"/>
    <x v="1"/>
    <d v="2021-01-03T00:00:00"/>
    <s v="Morgan Sellers"/>
    <x v="3"/>
    <s v="Los Angeles"/>
    <x v="49"/>
    <n v="43.763676148796499"/>
  </r>
  <r>
    <s v="B-26804"/>
    <n v="1548"/>
    <n v="666"/>
    <n v="3"/>
    <x v="1"/>
    <s v="Paper"/>
    <x v="3"/>
    <d v="2021-01-03T00:00:00"/>
    <s v="Morgan Sellers"/>
    <x v="3"/>
    <s v="Los Angeles"/>
    <x v="49"/>
    <n v="43.02325581395349"/>
  </r>
  <r>
    <s v="B-26797"/>
    <n v="2759"/>
    <n v="1149"/>
    <n v="6"/>
    <x v="2"/>
    <s v="Tables"/>
    <x v="3"/>
    <d v="2024-12-27T00:00:00"/>
    <s v="Caitlin Thomas"/>
    <x v="2"/>
    <s v="New York City"/>
    <x v="1"/>
    <n v="41.645523740485686"/>
  </r>
  <r>
    <s v="B-26556"/>
    <n v="1341"/>
    <n v="615"/>
    <n v="4"/>
    <x v="0"/>
    <s v="Laptops"/>
    <x v="0"/>
    <d v="2022-08-12T00:00:00"/>
    <s v="Kimberly Greene"/>
    <x v="0"/>
    <s v="Orlando"/>
    <x v="40"/>
    <n v="45.861297539149888"/>
  </r>
  <r>
    <s v="B-25861"/>
    <n v="9851"/>
    <n v="2669"/>
    <n v="19"/>
    <x v="0"/>
    <s v="Electronic Games"/>
    <x v="1"/>
    <d v="2022-03-28T00:00:00"/>
    <s v="Tammy Anthony"/>
    <x v="5"/>
    <s v="Cleveland"/>
    <x v="25"/>
    <n v="27.093696071464823"/>
  </r>
  <r>
    <s v="B-25861"/>
    <n v="9851"/>
    <n v="2669"/>
    <n v="19"/>
    <x v="0"/>
    <s v="Electronic Games"/>
    <x v="1"/>
    <d v="2023-07-15T00:00:00"/>
    <s v="Jennifer Chase"/>
    <x v="2"/>
    <s v="Buffalo"/>
    <x v="17"/>
    <n v="27.093696071464823"/>
  </r>
  <r>
    <s v="B-25861"/>
    <n v="9851"/>
    <n v="2669"/>
    <n v="19"/>
    <x v="0"/>
    <s v="Electronic Games"/>
    <x v="1"/>
    <d v="2022-09-22T00:00:00"/>
    <s v="Cassandra Farley"/>
    <x v="0"/>
    <s v="Orlando"/>
    <x v="24"/>
    <n v="27.093696071464823"/>
  </r>
  <r>
    <s v="B-25861"/>
    <n v="9989"/>
    <n v="3930"/>
    <n v="14"/>
    <x v="2"/>
    <s v="Tables"/>
    <x v="1"/>
    <d v="2022-03-28T00:00:00"/>
    <s v="Tammy Anthony"/>
    <x v="5"/>
    <s v="Cleveland"/>
    <x v="25"/>
    <n v="39.343277605365898"/>
  </r>
  <r>
    <s v="B-25861"/>
    <n v="9989"/>
    <n v="3930"/>
    <n v="14"/>
    <x v="2"/>
    <s v="Tables"/>
    <x v="1"/>
    <d v="2023-07-15T00:00:00"/>
    <s v="Jennifer Chase"/>
    <x v="2"/>
    <s v="Buffalo"/>
    <x v="17"/>
    <n v="39.343277605365898"/>
  </r>
  <r>
    <s v="B-25861"/>
    <n v="9989"/>
    <n v="3930"/>
    <n v="14"/>
    <x v="2"/>
    <s v="Tables"/>
    <x v="1"/>
    <d v="2022-09-22T00:00:00"/>
    <s v="Cassandra Farley"/>
    <x v="0"/>
    <s v="Orlando"/>
    <x v="24"/>
    <n v="39.343277605365898"/>
  </r>
  <r>
    <s v="B-25112"/>
    <n v="7421"/>
    <n v="958"/>
    <n v="10"/>
    <x v="2"/>
    <s v="Tables"/>
    <x v="4"/>
    <d v="2022-12-20T00:00:00"/>
    <s v="Justin Vasquez"/>
    <x v="4"/>
    <s v="Houston"/>
    <x v="29"/>
    <n v="12.909311413556123"/>
  </r>
  <r>
    <s v="B-25112"/>
    <n v="7421"/>
    <n v="958"/>
    <n v="10"/>
    <x v="2"/>
    <s v="Tables"/>
    <x v="4"/>
    <d v="2022-01-16T00:00:00"/>
    <s v="Melissa Morales"/>
    <x v="4"/>
    <s v="Houston"/>
    <x v="12"/>
    <n v="12.909311413556123"/>
  </r>
  <r>
    <s v="B-25112"/>
    <n v="7421"/>
    <n v="958"/>
    <n v="10"/>
    <x v="2"/>
    <s v="Tables"/>
    <x v="4"/>
    <d v="2023-01-29T00:00:00"/>
    <s v="Tyler Thompson"/>
    <x v="4"/>
    <s v="Dallas"/>
    <x v="54"/>
    <n v="12.909311413556123"/>
  </r>
  <r>
    <s v="B-25223"/>
    <n v="3099"/>
    <n v="479"/>
    <n v="1"/>
    <x v="1"/>
    <s v="Paper"/>
    <x v="4"/>
    <d v="2022-01-15T00:00:00"/>
    <s v="Heidi Davis"/>
    <x v="2"/>
    <s v="Buffalo"/>
    <x v="12"/>
    <n v="15.456598902871892"/>
  </r>
  <r>
    <s v="B-25223"/>
    <n v="2521"/>
    <n v="906"/>
    <n v="7"/>
    <x v="0"/>
    <s v="Phones"/>
    <x v="4"/>
    <d v="2022-01-15T00:00:00"/>
    <s v="Heidi Davis"/>
    <x v="2"/>
    <s v="Buffalo"/>
    <x v="12"/>
    <n v="35.938119793732646"/>
  </r>
  <r>
    <s v="B-25714"/>
    <n v="6962"/>
    <n v="3429"/>
    <n v="12"/>
    <x v="0"/>
    <s v="Electronic Games"/>
    <x v="0"/>
    <d v="2024-03-24T00:00:00"/>
    <s v="Charles Lane"/>
    <x v="4"/>
    <s v="Dallas"/>
    <x v="55"/>
    <n v="49.253088193047972"/>
  </r>
  <r>
    <s v="B-25714"/>
    <n v="6962"/>
    <n v="3429"/>
    <n v="12"/>
    <x v="0"/>
    <s v="Electronic Games"/>
    <x v="0"/>
    <d v="2025-02-19T00:00:00"/>
    <s v="Joyce Good MD"/>
    <x v="0"/>
    <s v="Miami"/>
    <x v="9"/>
    <n v="49.253088193047972"/>
  </r>
  <r>
    <s v="B-26607"/>
    <n v="1085"/>
    <n v="301"/>
    <n v="20"/>
    <x v="2"/>
    <s v="Bookcases"/>
    <x v="0"/>
    <d v="2024-07-13T00:00:00"/>
    <s v="Maria Miller"/>
    <x v="2"/>
    <s v="Buffalo"/>
    <x v="41"/>
    <n v="27.741935483870968"/>
  </r>
  <r>
    <s v="B-25038"/>
    <n v="738"/>
    <n v="342"/>
    <n v="2"/>
    <x v="2"/>
    <s v="Chairs"/>
    <x v="1"/>
    <d v="2023-04-28T00:00:00"/>
    <s v="Terry Mcdaniel"/>
    <x v="5"/>
    <s v="Cincinnati"/>
    <x v="28"/>
    <n v="46.341463414634148"/>
  </r>
  <r>
    <s v="B-25038"/>
    <n v="738"/>
    <n v="342"/>
    <n v="2"/>
    <x v="2"/>
    <s v="Chairs"/>
    <x v="1"/>
    <d v="2020-12-05T00:00:00"/>
    <s v="Lisa Jacobs"/>
    <x v="2"/>
    <s v="Buffalo"/>
    <x v="50"/>
    <n v="46.341463414634148"/>
  </r>
  <r>
    <s v="B-25038"/>
    <n v="738"/>
    <n v="342"/>
    <n v="2"/>
    <x v="2"/>
    <s v="Chairs"/>
    <x v="1"/>
    <d v="2024-05-14T00:00:00"/>
    <s v="Jeff Duncan"/>
    <x v="5"/>
    <s v="Cincinnati"/>
    <x v="3"/>
    <n v="46.341463414634148"/>
  </r>
  <r>
    <s v="B-25038"/>
    <n v="738"/>
    <n v="342"/>
    <n v="2"/>
    <x v="2"/>
    <s v="Chairs"/>
    <x v="1"/>
    <d v="2022-01-18T00:00:00"/>
    <s v="Pamela Jones"/>
    <x v="2"/>
    <s v="New York City"/>
    <x v="12"/>
    <n v="46.341463414634148"/>
  </r>
  <r>
    <s v="B-26672"/>
    <n v="1366"/>
    <n v="242"/>
    <n v="17"/>
    <x v="0"/>
    <s v="Electronic Games"/>
    <x v="2"/>
    <d v="2023-09-18T00:00:00"/>
    <s v="Renee Robinson"/>
    <x v="5"/>
    <s v="Columbus"/>
    <x v="48"/>
    <n v="17.715959004392388"/>
  </r>
  <r>
    <s v="B-26672"/>
    <n v="1518"/>
    <n v="155"/>
    <n v="13"/>
    <x v="1"/>
    <s v="Markers"/>
    <x v="3"/>
    <d v="2023-09-18T00:00:00"/>
    <s v="Renee Robinson"/>
    <x v="5"/>
    <s v="Columbus"/>
    <x v="48"/>
    <n v="10.210803689064559"/>
  </r>
  <r>
    <s v="B-25747"/>
    <n v="2962"/>
    <n v="1470"/>
    <n v="1"/>
    <x v="0"/>
    <s v="Phones"/>
    <x v="4"/>
    <d v="2021-05-12T00:00:00"/>
    <s v="Jessica Kidd"/>
    <x v="2"/>
    <s v="Buffalo"/>
    <x v="18"/>
    <n v="49.628629304523969"/>
  </r>
  <r>
    <s v="B-25747"/>
    <n v="2962"/>
    <n v="1470"/>
    <n v="1"/>
    <x v="0"/>
    <s v="Phones"/>
    <x v="4"/>
    <d v="2023-09-17T00:00:00"/>
    <s v="Nicholas Martin"/>
    <x v="0"/>
    <s v="Tampa"/>
    <x v="48"/>
    <n v="49.628629304523969"/>
  </r>
  <r>
    <s v="B-25747"/>
    <n v="7131"/>
    <n v="718"/>
    <n v="12"/>
    <x v="0"/>
    <s v="Printers"/>
    <x v="0"/>
    <d v="2021-05-12T00:00:00"/>
    <s v="Jessica Kidd"/>
    <x v="2"/>
    <s v="Buffalo"/>
    <x v="18"/>
    <n v="10.068714065348479"/>
  </r>
  <r>
    <s v="B-25747"/>
    <n v="7131"/>
    <n v="718"/>
    <n v="12"/>
    <x v="0"/>
    <s v="Printers"/>
    <x v="0"/>
    <d v="2023-09-17T00:00:00"/>
    <s v="Nicholas Martin"/>
    <x v="0"/>
    <s v="Tampa"/>
    <x v="48"/>
    <n v="10.068714065348479"/>
  </r>
  <r>
    <s v="B-25747"/>
    <n v="4200"/>
    <n v="855"/>
    <n v="10"/>
    <x v="1"/>
    <s v="Markers"/>
    <x v="2"/>
    <d v="2021-05-12T00:00:00"/>
    <s v="Jessica Kidd"/>
    <x v="2"/>
    <s v="Buffalo"/>
    <x v="18"/>
    <n v="20.357142857142858"/>
  </r>
  <r>
    <s v="B-25747"/>
    <n v="4200"/>
    <n v="855"/>
    <n v="10"/>
    <x v="1"/>
    <s v="Markers"/>
    <x v="2"/>
    <d v="2023-09-17T00:00:00"/>
    <s v="Nicholas Martin"/>
    <x v="0"/>
    <s v="Tampa"/>
    <x v="48"/>
    <n v="20.357142857142858"/>
  </r>
  <r>
    <s v="B-26322"/>
    <n v="5934"/>
    <n v="1563"/>
    <n v="2"/>
    <x v="1"/>
    <s v="Markers"/>
    <x v="2"/>
    <d v="2024-09-06T00:00:00"/>
    <s v="David Brown"/>
    <x v="1"/>
    <s v="Peoria"/>
    <x v="31"/>
    <n v="26.339737108190093"/>
  </r>
  <r>
    <s v="B-26613"/>
    <n v="2701"/>
    <n v="322"/>
    <n v="11"/>
    <x v="0"/>
    <s v="Printers"/>
    <x v="0"/>
    <d v="2022-06-18T00:00:00"/>
    <s v="Amber Moore"/>
    <x v="2"/>
    <s v="New York City"/>
    <x v="33"/>
    <n v="11.921510551647538"/>
  </r>
  <r>
    <s v="B-26613"/>
    <n v="7273"/>
    <n v="2702"/>
    <n v="18"/>
    <x v="1"/>
    <s v="Paper"/>
    <x v="4"/>
    <d v="2022-06-18T00:00:00"/>
    <s v="Amber Moore"/>
    <x v="2"/>
    <s v="New York City"/>
    <x v="33"/>
    <n v="37.151106833493749"/>
  </r>
  <r>
    <s v="B-25413"/>
    <n v="2465"/>
    <n v="699"/>
    <n v="18"/>
    <x v="1"/>
    <s v="Markers"/>
    <x v="1"/>
    <d v="2020-05-22T00:00:00"/>
    <s v="James Williams"/>
    <x v="3"/>
    <s v="San Francisco"/>
    <x v="8"/>
    <n v="28.356997971602432"/>
  </r>
  <r>
    <s v="B-26466"/>
    <n v="3479"/>
    <n v="1087"/>
    <n v="2"/>
    <x v="1"/>
    <s v="Markers"/>
    <x v="2"/>
    <d v="2024-10-17T00:00:00"/>
    <s v="Karina Barr"/>
    <x v="4"/>
    <s v="Dallas"/>
    <x v="56"/>
    <n v="31.244610520264445"/>
  </r>
  <r>
    <s v="B-26466"/>
    <n v="5457"/>
    <n v="1765"/>
    <n v="7"/>
    <x v="0"/>
    <s v="Printers"/>
    <x v="2"/>
    <d v="2024-10-17T00:00:00"/>
    <s v="Karina Barr"/>
    <x v="4"/>
    <s v="Dallas"/>
    <x v="56"/>
    <n v="32.343778632948506"/>
  </r>
  <r>
    <s v="B-26610"/>
    <n v="4957"/>
    <n v="1152"/>
    <n v="8"/>
    <x v="1"/>
    <s v="Markers"/>
    <x v="3"/>
    <d v="2022-03-22T00:00:00"/>
    <s v="Meghan Rush"/>
    <x v="5"/>
    <s v="Cleveland"/>
    <x v="25"/>
    <n v="23.239862820254189"/>
  </r>
  <r>
    <s v="B-26209"/>
    <n v="4404"/>
    <n v="858"/>
    <n v="17"/>
    <x v="1"/>
    <s v="Pens"/>
    <x v="1"/>
    <d v="2024-03-17T00:00:00"/>
    <s v="Bianca Brown"/>
    <x v="5"/>
    <s v="Columbus"/>
    <x v="55"/>
    <n v="19.482288828337875"/>
  </r>
  <r>
    <s v="B-26209"/>
    <n v="8776"/>
    <n v="2529"/>
    <n v="15"/>
    <x v="2"/>
    <s v="Sofas"/>
    <x v="3"/>
    <d v="2024-03-17T00:00:00"/>
    <s v="Bianca Brown"/>
    <x v="5"/>
    <s v="Columbus"/>
    <x v="55"/>
    <n v="28.817228805834095"/>
  </r>
  <r>
    <s v="B-26622"/>
    <n v="9536"/>
    <n v="1437"/>
    <n v="9"/>
    <x v="0"/>
    <s v="Phones"/>
    <x v="0"/>
    <d v="2020-04-02T00:00:00"/>
    <s v="Timothy Jensen"/>
    <x v="0"/>
    <s v="Orlando"/>
    <x v="32"/>
    <n v="15.069211409395974"/>
  </r>
  <r>
    <s v="B-26622"/>
    <n v="2225"/>
    <n v="589"/>
    <n v="7"/>
    <x v="2"/>
    <s v="Sofas"/>
    <x v="3"/>
    <d v="2020-04-02T00:00:00"/>
    <s v="Timothy Jensen"/>
    <x v="0"/>
    <s v="Orlando"/>
    <x v="32"/>
    <n v="26.471910112359549"/>
  </r>
  <r>
    <s v="B-26601"/>
    <n v="9574"/>
    <n v="4045"/>
    <n v="19"/>
    <x v="2"/>
    <s v="Bookcases"/>
    <x v="0"/>
    <d v="2024-03-13T00:00:00"/>
    <s v="Melinda Montoya"/>
    <x v="3"/>
    <s v="San Francisco"/>
    <x v="55"/>
    <n v="42.249843325673694"/>
  </r>
  <r>
    <s v="B-26601"/>
    <n v="4382"/>
    <n v="482"/>
    <n v="17"/>
    <x v="0"/>
    <s v="Electronic Games"/>
    <x v="4"/>
    <d v="2024-03-13T00:00:00"/>
    <s v="Melinda Montoya"/>
    <x v="3"/>
    <s v="San Francisco"/>
    <x v="55"/>
    <n v="10.999543587403013"/>
  </r>
  <r>
    <s v="B-25894"/>
    <n v="8200"/>
    <n v="257"/>
    <n v="19"/>
    <x v="0"/>
    <s v="Laptops"/>
    <x v="4"/>
    <d v="2023-03-21T00:00:00"/>
    <s v="Tammy Bell"/>
    <x v="5"/>
    <s v="Cincinnati"/>
    <x v="45"/>
    <n v="3.1341463414634148"/>
  </r>
  <r>
    <s v="B-25894"/>
    <n v="9316"/>
    <n v="3003"/>
    <n v="13"/>
    <x v="2"/>
    <s v="Sofas"/>
    <x v="3"/>
    <d v="2023-03-21T00:00:00"/>
    <s v="Tammy Bell"/>
    <x v="5"/>
    <s v="Cincinnati"/>
    <x v="45"/>
    <n v="32.234864748819234"/>
  </r>
  <r>
    <s v="B-25894"/>
    <n v="6379"/>
    <n v="3128"/>
    <n v="15"/>
    <x v="0"/>
    <s v="Electronic Games"/>
    <x v="4"/>
    <d v="2023-03-21T00:00:00"/>
    <s v="Tammy Bell"/>
    <x v="5"/>
    <s v="Cincinnati"/>
    <x v="45"/>
    <n v="49.03589904373726"/>
  </r>
  <r>
    <s v="B-26969"/>
    <n v="3348"/>
    <n v="568"/>
    <n v="5"/>
    <x v="1"/>
    <s v="Markers"/>
    <x v="3"/>
    <d v="2024-03-02T00:00:00"/>
    <s v="Connie Richards"/>
    <x v="5"/>
    <s v="Cleveland"/>
    <x v="55"/>
    <n v="16.965352449223417"/>
  </r>
  <r>
    <s v="B-26969"/>
    <n v="3348"/>
    <n v="568"/>
    <n v="5"/>
    <x v="1"/>
    <s v="Markers"/>
    <x v="3"/>
    <d v="2021-04-30T00:00:00"/>
    <s v="Peter Ward"/>
    <x v="2"/>
    <s v="Rochester"/>
    <x v="27"/>
    <n v="16.965352449223417"/>
  </r>
  <r>
    <s v="B-26969"/>
    <n v="8856"/>
    <n v="2020"/>
    <n v="9"/>
    <x v="1"/>
    <s v="Pens"/>
    <x v="1"/>
    <d v="2024-03-02T00:00:00"/>
    <s v="Connie Richards"/>
    <x v="5"/>
    <s v="Cleveland"/>
    <x v="55"/>
    <n v="22.809394760614275"/>
  </r>
  <r>
    <s v="B-26969"/>
    <n v="8856"/>
    <n v="2020"/>
    <n v="9"/>
    <x v="1"/>
    <s v="Pens"/>
    <x v="1"/>
    <d v="2021-04-30T00:00:00"/>
    <s v="Peter Ward"/>
    <x v="2"/>
    <s v="Rochester"/>
    <x v="27"/>
    <n v="22.809394760614275"/>
  </r>
  <r>
    <s v="B-26312"/>
    <n v="1760"/>
    <n v="619"/>
    <n v="16"/>
    <x v="2"/>
    <s v="Sofas"/>
    <x v="1"/>
    <d v="2021-09-15T00:00:00"/>
    <s v="Jonathan Alvarez"/>
    <x v="5"/>
    <s v="Columbus"/>
    <x v="43"/>
    <n v="35.170454545454547"/>
  </r>
  <r>
    <s v="B-26312"/>
    <n v="1760"/>
    <n v="619"/>
    <n v="16"/>
    <x v="2"/>
    <s v="Sofas"/>
    <x v="1"/>
    <d v="2023-01-28T00:00:00"/>
    <s v="Becky Hodges"/>
    <x v="4"/>
    <s v="Houston"/>
    <x v="54"/>
    <n v="35.170454545454547"/>
  </r>
  <r>
    <s v="B-26312"/>
    <n v="6351"/>
    <n v="986"/>
    <n v="15"/>
    <x v="0"/>
    <s v="Printers"/>
    <x v="0"/>
    <d v="2021-09-15T00:00:00"/>
    <s v="Jonathan Alvarez"/>
    <x v="5"/>
    <s v="Columbus"/>
    <x v="43"/>
    <n v="15.52511415525114"/>
  </r>
  <r>
    <s v="B-26312"/>
    <n v="6351"/>
    <n v="986"/>
    <n v="15"/>
    <x v="0"/>
    <s v="Printers"/>
    <x v="0"/>
    <d v="2023-01-28T00:00:00"/>
    <s v="Becky Hodges"/>
    <x v="4"/>
    <s v="Houston"/>
    <x v="54"/>
    <n v="15.52511415525114"/>
  </r>
  <r>
    <s v="B-26837"/>
    <n v="869"/>
    <n v="373"/>
    <n v="14"/>
    <x v="1"/>
    <s v="Paper"/>
    <x v="3"/>
    <d v="2021-07-08T00:00:00"/>
    <s v="Larry Hill"/>
    <x v="2"/>
    <s v="New York City"/>
    <x v="2"/>
    <n v="42.922899884925201"/>
  </r>
  <r>
    <s v="B-26837"/>
    <n v="869"/>
    <n v="373"/>
    <n v="14"/>
    <x v="1"/>
    <s v="Paper"/>
    <x v="3"/>
    <d v="2020-04-08T00:00:00"/>
    <s v="Amber Moon"/>
    <x v="5"/>
    <s v="Cleveland"/>
    <x v="32"/>
    <n v="42.922899884925201"/>
  </r>
  <r>
    <s v="B-26837"/>
    <n v="1486"/>
    <n v="114"/>
    <n v="7"/>
    <x v="2"/>
    <s v="Bookcases"/>
    <x v="0"/>
    <d v="2021-07-08T00:00:00"/>
    <s v="Larry Hill"/>
    <x v="2"/>
    <s v="New York City"/>
    <x v="2"/>
    <n v="7.6716016150740236"/>
  </r>
  <r>
    <s v="B-26837"/>
    <n v="1486"/>
    <n v="114"/>
    <n v="7"/>
    <x v="2"/>
    <s v="Bookcases"/>
    <x v="0"/>
    <d v="2020-04-08T00:00:00"/>
    <s v="Amber Moon"/>
    <x v="5"/>
    <s v="Cleveland"/>
    <x v="32"/>
    <n v="7.6716016150740236"/>
  </r>
  <r>
    <s v="B-26166"/>
    <n v="2999"/>
    <n v="145"/>
    <n v="13"/>
    <x v="1"/>
    <s v="Binders"/>
    <x v="4"/>
    <d v="2022-08-23T00:00:00"/>
    <s v="Cynthia Wilcox"/>
    <x v="1"/>
    <s v="Chicago"/>
    <x v="40"/>
    <n v="4.8349449816605539"/>
  </r>
  <r>
    <s v="B-26166"/>
    <n v="5142"/>
    <n v="1916"/>
    <n v="20"/>
    <x v="1"/>
    <s v="Paper"/>
    <x v="2"/>
    <d v="2022-08-23T00:00:00"/>
    <s v="Cynthia Wilcox"/>
    <x v="1"/>
    <s v="Chicago"/>
    <x v="40"/>
    <n v="37.261765849863863"/>
  </r>
  <r>
    <s v="B-25695"/>
    <n v="1239"/>
    <n v="575"/>
    <n v="17"/>
    <x v="0"/>
    <s v="Laptops"/>
    <x v="0"/>
    <d v="2022-12-17T00:00:00"/>
    <s v="Rebecca Wright"/>
    <x v="2"/>
    <s v="Rochester"/>
    <x v="29"/>
    <n v="46.408393866020987"/>
  </r>
  <r>
    <s v="B-25695"/>
    <n v="1239"/>
    <n v="575"/>
    <n v="17"/>
    <x v="0"/>
    <s v="Laptops"/>
    <x v="0"/>
    <d v="2022-06-08T00:00:00"/>
    <s v="Sarah Flores"/>
    <x v="1"/>
    <s v="Springfield"/>
    <x v="33"/>
    <n v="46.408393866020987"/>
  </r>
  <r>
    <s v="B-25695"/>
    <n v="1262"/>
    <n v="515"/>
    <n v="16"/>
    <x v="0"/>
    <s v="Electronic Games"/>
    <x v="2"/>
    <d v="2022-12-17T00:00:00"/>
    <s v="Rebecca Wright"/>
    <x v="2"/>
    <s v="Rochester"/>
    <x v="29"/>
    <n v="40.808240887480189"/>
  </r>
  <r>
    <s v="B-25695"/>
    <n v="1262"/>
    <n v="515"/>
    <n v="16"/>
    <x v="0"/>
    <s v="Electronic Games"/>
    <x v="2"/>
    <d v="2022-06-08T00:00:00"/>
    <s v="Sarah Flores"/>
    <x v="1"/>
    <s v="Springfield"/>
    <x v="33"/>
    <n v="40.808240887480189"/>
  </r>
  <r>
    <s v="B-26068"/>
    <n v="1033"/>
    <n v="254"/>
    <n v="5"/>
    <x v="2"/>
    <s v="Bookcases"/>
    <x v="4"/>
    <d v="2020-08-28T00:00:00"/>
    <s v="Carol Norman"/>
    <x v="2"/>
    <s v="Rochester"/>
    <x v="38"/>
    <n v="24.588576960309776"/>
  </r>
  <r>
    <s v="B-26023"/>
    <n v="1518"/>
    <n v="159"/>
    <n v="19"/>
    <x v="0"/>
    <s v="Printers"/>
    <x v="0"/>
    <d v="2020-09-26T00:00:00"/>
    <s v="Stephanie Gardner"/>
    <x v="3"/>
    <s v="San Diego"/>
    <x v="57"/>
    <n v="10.474308300395258"/>
  </r>
  <r>
    <s v="B-26677"/>
    <n v="8581"/>
    <n v="2444"/>
    <n v="2"/>
    <x v="1"/>
    <s v="Paper"/>
    <x v="1"/>
    <d v="2020-12-13T00:00:00"/>
    <s v="Philip Baker"/>
    <x v="1"/>
    <s v="Peoria"/>
    <x v="50"/>
    <n v="28.481528959328749"/>
  </r>
  <r>
    <s v="B-26677"/>
    <n v="8581"/>
    <n v="2444"/>
    <n v="2"/>
    <x v="1"/>
    <s v="Paper"/>
    <x v="1"/>
    <d v="2020-11-19T00:00:00"/>
    <s v="Randall Dennis"/>
    <x v="0"/>
    <s v="Orlando"/>
    <x v="11"/>
    <n v="28.481528959328749"/>
  </r>
  <r>
    <s v="B-25701"/>
    <n v="1167"/>
    <n v="463"/>
    <n v="5"/>
    <x v="1"/>
    <s v="Pens"/>
    <x v="0"/>
    <d v="2023-09-13T00:00:00"/>
    <s v="Suzanne Cross"/>
    <x v="4"/>
    <s v="Austin"/>
    <x v="48"/>
    <n v="39.674378748928881"/>
  </r>
  <r>
    <s v="B-25701"/>
    <n v="2841"/>
    <n v="803"/>
    <n v="20"/>
    <x v="0"/>
    <s v="Laptops"/>
    <x v="3"/>
    <d v="2023-09-13T00:00:00"/>
    <s v="Suzanne Cross"/>
    <x v="4"/>
    <s v="Austin"/>
    <x v="48"/>
    <n v="28.264695529743051"/>
  </r>
  <r>
    <s v="B-25701"/>
    <n v="5680"/>
    <n v="2159"/>
    <n v="19"/>
    <x v="2"/>
    <s v="Tables"/>
    <x v="0"/>
    <d v="2023-09-13T00:00:00"/>
    <s v="Suzanne Cross"/>
    <x v="4"/>
    <s v="Austin"/>
    <x v="48"/>
    <n v="38.010563380281695"/>
  </r>
  <r>
    <s v="B-26523"/>
    <n v="8204"/>
    <n v="2382"/>
    <n v="6"/>
    <x v="1"/>
    <s v="Pens"/>
    <x v="0"/>
    <d v="2020-03-31T00:00:00"/>
    <s v="Jasmine Delgado"/>
    <x v="1"/>
    <s v="Chicago"/>
    <x v="7"/>
    <n v="29.03461725987323"/>
  </r>
  <r>
    <s v="B-26523"/>
    <n v="8204"/>
    <n v="2382"/>
    <n v="6"/>
    <x v="1"/>
    <s v="Pens"/>
    <x v="0"/>
    <d v="2020-10-20T00:00:00"/>
    <s v="Kristen Harper"/>
    <x v="2"/>
    <s v="Buffalo"/>
    <x v="20"/>
    <n v="29.03461725987323"/>
  </r>
  <r>
    <s v="B-26523"/>
    <n v="2850"/>
    <n v="904"/>
    <n v="6"/>
    <x v="0"/>
    <s v="Phones"/>
    <x v="2"/>
    <d v="2020-03-31T00:00:00"/>
    <s v="Jasmine Delgado"/>
    <x v="1"/>
    <s v="Chicago"/>
    <x v="7"/>
    <n v="31.719298245614034"/>
  </r>
  <r>
    <s v="B-26523"/>
    <n v="2850"/>
    <n v="904"/>
    <n v="6"/>
    <x v="0"/>
    <s v="Phones"/>
    <x v="2"/>
    <d v="2020-10-20T00:00:00"/>
    <s v="Kristen Harper"/>
    <x v="2"/>
    <s v="Buffalo"/>
    <x v="20"/>
    <n v="31.719298245614034"/>
  </r>
  <r>
    <s v="B-25880"/>
    <n v="907"/>
    <n v="391"/>
    <n v="9"/>
    <x v="1"/>
    <s v="Pens"/>
    <x v="3"/>
    <d v="2023-08-04T00:00:00"/>
    <s v="Kaitlyn Graham MD"/>
    <x v="2"/>
    <s v="New York City"/>
    <x v="21"/>
    <n v="43.109151047409036"/>
  </r>
  <r>
    <s v="B-26898"/>
    <n v="2174"/>
    <n v="265"/>
    <n v="19"/>
    <x v="1"/>
    <s v="Pens"/>
    <x v="3"/>
    <d v="2022-04-11T00:00:00"/>
    <s v="Dean Avila"/>
    <x v="5"/>
    <s v="Cincinnati"/>
    <x v="39"/>
    <n v="12.189512419503219"/>
  </r>
  <r>
    <s v="B-26898"/>
    <n v="8541"/>
    <n v="2029"/>
    <n v="12"/>
    <x v="0"/>
    <s v="Electronic Games"/>
    <x v="3"/>
    <d v="2022-04-11T00:00:00"/>
    <s v="Dean Avila"/>
    <x v="5"/>
    <s v="Cincinnati"/>
    <x v="39"/>
    <n v="23.756000468329237"/>
  </r>
  <r>
    <s v="B-26898"/>
    <n v="1931"/>
    <n v="551"/>
    <n v="3"/>
    <x v="2"/>
    <s v="Bookcases"/>
    <x v="2"/>
    <d v="2022-04-11T00:00:00"/>
    <s v="Dean Avila"/>
    <x v="5"/>
    <s v="Cincinnati"/>
    <x v="39"/>
    <n v="28.534438114966338"/>
  </r>
  <r>
    <s v="B-26035"/>
    <n v="1281"/>
    <n v="340"/>
    <n v="3"/>
    <x v="0"/>
    <s v="Electronic Games"/>
    <x v="1"/>
    <d v="2021-12-31T00:00:00"/>
    <s v="Megan Mack"/>
    <x v="4"/>
    <s v="Austin"/>
    <x v="13"/>
    <n v="26.541764246682281"/>
  </r>
  <r>
    <s v="B-26035"/>
    <n v="2404"/>
    <n v="253"/>
    <n v="15"/>
    <x v="0"/>
    <s v="Laptops"/>
    <x v="4"/>
    <d v="2021-12-31T00:00:00"/>
    <s v="Megan Mack"/>
    <x v="4"/>
    <s v="Austin"/>
    <x v="13"/>
    <n v="10.524126455906822"/>
  </r>
  <r>
    <s v="B-25573"/>
    <n v="2119"/>
    <n v="196"/>
    <n v="1"/>
    <x v="2"/>
    <s v="Sofas"/>
    <x v="4"/>
    <d v="2020-08-16T00:00:00"/>
    <s v="Heather Johnson"/>
    <x v="3"/>
    <s v="Los Angeles"/>
    <x v="38"/>
    <n v="9.2496460594620107"/>
  </r>
  <r>
    <s v="B-25463"/>
    <n v="3137"/>
    <n v="571"/>
    <n v="9"/>
    <x v="1"/>
    <s v="Pens"/>
    <x v="1"/>
    <d v="2025-02-02T00:00:00"/>
    <s v="Tina Davies"/>
    <x v="1"/>
    <s v="Chicago"/>
    <x v="9"/>
    <n v="18.202103920943578"/>
  </r>
  <r>
    <s v="B-26277"/>
    <n v="2323"/>
    <n v="727"/>
    <n v="7"/>
    <x v="2"/>
    <s v="Tables"/>
    <x v="4"/>
    <d v="2022-02-24T00:00:00"/>
    <s v="Matthew Harris"/>
    <x v="4"/>
    <s v="Dallas"/>
    <x v="26"/>
    <n v="31.295738269479124"/>
  </r>
  <r>
    <s v="B-26277"/>
    <n v="1368"/>
    <n v="406"/>
    <n v="9"/>
    <x v="2"/>
    <s v="Bookcases"/>
    <x v="0"/>
    <d v="2022-02-24T00:00:00"/>
    <s v="Matthew Harris"/>
    <x v="4"/>
    <s v="Dallas"/>
    <x v="26"/>
    <n v="29.678362573099413"/>
  </r>
  <r>
    <s v="B-26508"/>
    <n v="9204"/>
    <n v="3289"/>
    <n v="16"/>
    <x v="0"/>
    <s v="Laptops"/>
    <x v="3"/>
    <d v="2024-02-25T00:00:00"/>
    <s v="Christopher Kirk"/>
    <x v="0"/>
    <s v="Miami"/>
    <x v="42"/>
    <n v="35.734463276836159"/>
  </r>
  <r>
    <s v="B-26508"/>
    <n v="9204"/>
    <n v="3289"/>
    <n v="16"/>
    <x v="0"/>
    <s v="Laptops"/>
    <x v="3"/>
    <d v="2021-06-15T00:00:00"/>
    <s v="Eric Stevens"/>
    <x v="0"/>
    <s v="Miami"/>
    <x v="22"/>
    <n v="35.734463276836159"/>
  </r>
  <r>
    <s v="B-26508"/>
    <n v="9894"/>
    <n v="3698"/>
    <n v="20"/>
    <x v="1"/>
    <s v="Paper"/>
    <x v="2"/>
    <d v="2024-02-25T00:00:00"/>
    <s v="Christopher Kirk"/>
    <x v="0"/>
    <s v="Miami"/>
    <x v="42"/>
    <n v="37.376187588437439"/>
  </r>
  <r>
    <s v="B-26508"/>
    <n v="9894"/>
    <n v="3698"/>
    <n v="20"/>
    <x v="1"/>
    <s v="Paper"/>
    <x v="2"/>
    <d v="2021-06-15T00:00:00"/>
    <s v="Eric Stevens"/>
    <x v="0"/>
    <s v="Miami"/>
    <x v="22"/>
    <n v="37.376187588437439"/>
  </r>
  <r>
    <s v="B-26723"/>
    <n v="5322"/>
    <n v="1423"/>
    <n v="18"/>
    <x v="2"/>
    <s v="Sofas"/>
    <x v="4"/>
    <d v="2022-12-08T00:00:00"/>
    <s v="James Dickerson"/>
    <x v="4"/>
    <s v="Houston"/>
    <x v="29"/>
    <n v="26.738068395340097"/>
  </r>
  <r>
    <s v="B-26723"/>
    <n v="5322"/>
    <n v="1423"/>
    <n v="18"/>
    <x v="2"/>
    <s v="Sofas"/>
    <x v="4"/>
    <d v="2023-12-09T00:00:00"/>
    <s v="James Jones"/>
    <x v="4"/>
    <s v="Dallas"/>
    <x v="16"/>
    <n v="26.738068395340097"/>
  </r>
  <r>
    <s v="B-25526"/>
    <n v="2666"/>
    <n v="559"/>
    <n v="14"/>
    <x v="2"/>
    <s v="Chairs"/>
    <x v="4"/>
    <d v="2022-07-16T00:00:00"/>
    <s v="Hannah Hendricks"/>
    <x v="5"/>
    <s v="Cleveland"/>
    <x v="58"/>
    <n v="20.967741935483872"/>
  </r>
  <r>
    <s v="B-25645"/>
    <n v="8383"/>
    <n v="937"/>
    <n v="4"/>
    <x v="2"/>
    <s v="Sofas"/>
    <x v="0"/>
    <d v="2024-05-05T00:00:00"/>
    <s v="Brett Mullins"/>
    <x v="0"/>
    <s v="Orlando"/>
    <x v="3"/>
    <n v="11.177382798520815"/>
  </r>
  <r>
    <s v="B-25757"/>
    <n v="7560"/>
    <n v="821"/>
    <n v="4"/>
    <x v="1"/>
    <s v="Paper"/>
    <x v="2"/>
    <d v="2021-10-04T00:00:00"/>
    <s v="Ms. Kim Jordan"/>
    <x v="1"/>
    <s v="Chicago"/>
    <x v="4"/>
    <n v="10.859788359788359"/>
  </r>
  <r>
    <s v="B-26716"/>
    <n v="1314"/>
    <n v="490"/>
    <n v="16"/>
    <x v="2"/>
    <s v="Sofas"/>
    <x v="0"/>
    <d v="2021-11-20T00:00:00"/>
    <s v="Marcus Santiago"/>
    <x v="2"/>
    <s v="Buffalo"/>
    <x v="35"/>
    <n v="37.290715372907151"/>
  </r>
  <r>
    <s v="B-26716"/>
    <n v="4390"/>
    <n v="179"/>
    <n v="1"/>
    <x v="2"/>
    <s v="Tables"/>
    <x v="1"/>
    <d v="2021-11-20T00:00:00"/>
    <s v="Marcus Santiago"/>
    <x v="2"/>
    <s v="Buffalo"/>
    <x v="35"/>
    <n v="4.0774487471526202"/>
  </r>
  <r>
    <s v="B-26716"/>
    <n v="1150"/>
    <n v="58"/>
    <n v="7"/>
    <x v="1"/>
    <s v="Binders"/>
    <x v="1"/>
    <d v="2021-11-20T00:00:00"/>
    <s v="Marcus Santiago"/>
    <x v="2"/>
    <s v="Buffalo"/>
    <x v="35"/>
    <n v="5.0434782608695654"/>
  </r>
  <r>
    <s v="B-25424"/>
    <n v="1574"/>
    <n v="258"/>
    <n v="17"/>
    <x v="1"/>
    <s v="Pens"/>
    <x v="2"/>
    <d v="2020-09-15T00:00:00"/>
    <s v="Jill Perez"/>
    <x v="3"/>
    <s v="San Diego"/>
    <x v="57"/>
    <n v="16.391359593392629"/>
  </r>
  <r>
    <s v="B-25424"/>
    <n v="5635"/>
    <n v="318"/>
    <n v="17"/>
    <x v="1"/>
    <s v="Binders"/>
    <x v="0"/>
    <d v="2020-09-15T00:00:00"/>
    <s v="Jill Perez"/>
    <x v="3"/>
    <s v="San Diego"/>
    <x v="57"/>
    <n v="5.6433007985803014"/>
  </r>
  <r>
    <s v="B-25424"/>
    <n v="6515"/>
    <n v="961"/>
    <n v="11"/>
    <x v="2"/>
    <s v="Sofas"/>
    <x v="1"/>
    <d v="2020-09-15T00:00:00"/>
    <s v="Jill Perez"/>
    <x v="3"/>
    <s v="San Diego"/>
    <x v="57"/>
    <n v="14.750575594781273"/>
  </r>
  <r>
    <s v="B-26453"/>
    <n v="1231"/>
    <n v="214"/>
    <n v="20"/>
    <x v="0"/>
    <s v="Laptops"/>
    <x v="1"/>
    <d v="2023-01-17T00:00:00"/>
    <s v="Courtney Williams"/>
    <x v="5"/>
    <s v="Columbus"/>
    <x v="54"/>
    <n v="17.384240454914703"/>
  </r>
  <r>
    <s v="B-26453"/>
    <n v="1231"/>
    <n v="214"/>
    <n v="20"/>
    <x v="0"/>
    <s v="Laptops"/>
    <x v="1"/>
    <d v="2020-06-16T00:00:00"/>
    <s v="Jordan Hahn"/>
    <x v="2"/>
    <s v="Rochester"/>
    <x v="53"/>
    <n v="17.384240454914703"/>
  </r>
  <r>
    <s v="B-26425"/>
    <n v="6891"/>
    <n v="2529"/>
    <n v="3"/>
    <x v="1"/>
    <s v="Binders"/>
    <x v="1"/>
    <d v="2024-05-01T00:00:00"/>
    <s v="William Cook"/>
    <x v="5"/>
    <s v="Cleveland"/>
    <x v="3"/>
    <n v="36.700043535045715"/>
  </r>
  <r>
    <s v="B-25843"/>
    <n v="7524"/>
    <n v="2308"/>
    <n v="15"/>
    <x v="0"/>
    <s v="Laptops"/>
    <x v="2"/>
    <d v="2023-12-07T00:00:00"/>
    <s v="Stephanie Hayes"/>
    <x v="4"/>
    <s v="Austin"/>
    <x v="16"/>
    <n v="30.67517278043594"/>
  </r>
  <r>
    <s v="B-25843"/>
    <n v="6864"/>
    <n v="1824"/>
    <n v="14"/>
    <x v="0"/>
    <s v="Printers"/>
    <x v="3"/>
    <d v="2023-12-07T00:00:00"/>
    <s v="Stephanie Hayes"/>
    <x v="4"/>
    <s v="Austin"/>
    <x v="16"/>
    <n v="26.573426573426573"/>
  </r>
  <r>
    <s v="B-25486"/>
    <n v="4215"/>
    <n v="432"/>
    <n v="14"/>
    <x v="2"/>
    <s v="Chairs"/>
    <x v="1"/>
    <d v="2024-02-02T00:00:00"/>
    <s v="Melissa Wise"/>
    <x v="5"/>
    <s v="Columbus"/>
    <x v="42"/>
    <n v="10.249110320284698"/>
  </r>
  <r>
    <s v="B-26975"/>
    <n v="622"/>
    <n v="218"/>
    <n v="19"/>
    <x v="2"/>
    <s v="Bookcases"/>
    <x v="3"/>
    <d v="2024-06-23T00:00:00"/>
    <s v="Elizabeth Gonzalez"/>
    <x v="3"/>
    <s v="San Diego"/>
    <x v="47"/>
    <n v="35.048231511254016"/>
  </r>
  <r>
    <s v="B-26975"/>
    <n v="1755"/>
    <n v="495"/>
    <n v="18"/>
    <x v="1"/>
    <s v="Pens"/>
    <x v="0"/>
    <d v="2024-06-23T00:00:00"/>
    <s v="Elizabeth Gonzalez"/>
    <x v="3"/>
    <s v="San Diego"/>
    <x v="47"/>
    <n v="28.205128205128204"/>
  </r>
  <r>
    <s v="B-26975"/>
    <n v="8020"/>
    <n v="3898"/>
    <n v="20"/>
    <x v="0"/>
    <s v="Electronic Games"/>
    <x v="2"/>
    <d v="2024-06-23T00:00:00"/>
    <s v="Elizabeth Gonzalez"/>
    <x v="3"/>
    <s v="San Diego"/>
    <x v="47"/>
    <n v="48.603491271820445"/>
  </r>
  <r>
    <s v="B-26890"/>
    <n v="7333"/>
    <n v="1576"/>
    <n v="4"/>
    <x v="0"/>
    <s v="Laptops"/>
    <x v="3"/>
    <d v="2024-06-07T00:00:00"/>
    <s v="Mr. Eric Lopez"/>
    <x v="2"/>
    <s v="Buffalo"/>
    <x v="47"/>
    <n v="21.491885994817945"/>
  </r>
  <r>
    <s v="B-26125"/>
    <n v="7690"/>
    <n v="1134"/>
    <n v="4"/>
    <x v="0"/>
    <s v="Electronic Games"/>
    <x v="4"/>
    <d v="2023-10-13T00:00:00"/>
    <s v="Benjamin Higgins"/>
    <x v="2"/>
    <s v="Rochester"/>
    <x v="59"/>
    <n v="14.746423927178153"/>
  </r>
  <r>
    <s v="B-26125"/>
    <n v="912"/>
    <n v="246"/>
    <n v="2"/>
    <x v="2"/>
    <s v="Sofas"/>
    <x v="2"/>
    <d v="2023-10-13T00:00:00"/>
    <s v="Benjamin Higgins"/>
    <x v="2"/>
    <s v="Rochester"/>
    <x v="59"/>
    <n v="26.973684210526315"/>
  </r>
  <r>
    <s v="B-26489"/>
    <n v="2791"/>
    <n v="894"/>
    <n v="14"/>
    <x v="0"/>
    <s v="Laptops"/>
    <x v="4"/>
    <d v="2022-10-08T00:00:00"/>
    <s v="Brett Sutton"/>
    <x v="4"/>
    <s v="Austin"/>
    <x v="15"/>
    <n v="32.031529917592259"/>
  </r>
  <r>
    <s v="B-26489"/>
    <n v="2791"/>
    <n v="894"/>
    <n v="14"/>
    <x v="0"/>
    <s v="Laptops"/>
    <x v="4"/>
    <d v="2023-10-27T00:00:00"/>
    <s v="Anna Blackburn"/>
    <x v="5"/>
    <s v="Cincinnati"/>
    <x v="59"/>
    <n v="32.031529917592259"/>
  </r>
  <r>
    <s v="B-26489"/>
    <n v="2791"/>
    <n v="894"/>
    <n v="14"/>
    <x v="0"/>
    <s v="Laptops"/>
    <x v="4"/>
    <d v="2021-02-09T00:00:00"/>
    <s v="Michelle Bailey"/>
    <x v="4"/>
    <s v="Dallas"/>
    <x v="51"/>
    <n v="32.031529917592259"/>
  </r>
  <r>
    <s v="B-26489"/>
    <n v="6223"/>
    <n v="1478"/>
    <n v="3"/>
    <x v="2"/>
    <s v="Sofas"/>
    <x v="1"/>
    <d v="2022-10-08T00:00:00"/>
    <s v="Brett Sutton"/>
    <x v="4"/>
    <s v="Austin"/>
    <x v="15"/>
    <n v="23.750602603246023"/>
  </r>
  <r>
    <s v="B-26489"/>
    <n v="6223"/>
    <n v="1478"/>
    <n v="3"/>
    <x v="2"/>
    <s v="Sofas"/>
    <x v="1"/>
    <d v="2023-10-27T00:00:00"/>
    <s v="Anna Blackburn"/>
    <x v="5"/>
    <s v="Cincinnati"/>
    <x v="59"/>
    <n v="23.750602603246023"/>
  </r>
  <r>
    <s v="B-26489"/>
    <n v="6223"/>
    <n v="1478"/>
    <n v="3"/>
    <x v="2"/>
    <s v="Sofas"/>
    <x v="1"/>
    <d v="2021-02-09T00:00:00"/>
    <s v="Michelle Bailey"/>
    <x v="4"/>
    <s v="Dallas"/>
    <x v="51"/>
    <n v="23.750602603246023"/>
  </r>
  <r>
    <s v="B-26489"/>
    <n v="8943"/>
    <n v="3121"/>
    <n v="17"/>
    <x v="2"/>
    <s v="Chairs"/>
    <x v="1"/>
    <d v="2022-10-08T00:00:00"/>
    <s v="Brett Sutton"/>
    <x v="4"/>
    <s v="Austin"/>
    <x v="15"/>
    <n v="34.898803533489883"/>
  </r>
  <r>
    <s v="B-26489"/>
    <n v="8943"/>
    <n v="3121"/>
    <n v="17"/>
    <x v="2"/>
    <s v="Chairs"/>
    <x v="1"/>
    <d v="2023-10-27T00:00:00"/>
    <s v="Anna Blackburn"/>
    <x v="5"/>
    <s v="Cincinnati"/>
    <x v="59"/>
    <n v="34.898803533489883"/>
  </r>
  <r>
    <s v="B-26489"/>
    <n v="8943"/>
    <n v="3121"/>
    <n v="17"/>
    <x v="2"/>
    <s v="Chairs"/>
    <x v="1"/>
    <d v="2021-02-09T00:00:00"/>
    <s v="Michelle Bailey"/>
    <x v="4"/>
    <s v="Dallas"/>
    <x v="51"/>
    <n v="34.898803533489883"/>
  </r>
  <r>
    <s v="B-26489"/>
    <n v="3297"/>
    <n v="102"/>
    <n v="12"/>
    <x v="0"/>
    <s v="Phones"/>
    <x v="3"/>
    <d v="2022-10-08T00:00:00"/>
    <s v="Brett Sutton"/>
    <x v="4"/>
    <s v="Austin"/>
    <x v="15"/>
    <n v="3.0937215650591448"/>
  </r>
  <r>
    <s v="B-26489"/>
    <n v="3297"/>
    <n v="102"/>
    <n v="12"/>
    <x v="0"/>
    <s v="Phones"/>
    <x v="3"/>
    <d v="2023-10-27T00:00:00"/>
    <s v="Anna Blackburn"/>
    <x v="5"/>
    <s v="Cincinnati"/>
    <x v="59"/>
    <n v="3.0937215650591448"/>
  </r>
  <r>
    <s v="B-26489"/>
    <n v="3297"/>
    <n v="102"/>
    <n v="12"/>
    <x v="0"/>
    <s v="Phones"/>
    <x v="3"/>
    <d v="2021-02-09T00:00:00"/>
    <s v="Michelle Bailey"/>
    <x v="4"/>
    <s v="Dallas"/>
    <x v="51"/>
    <n v="3.0937215650591448"/>
  </r>
  <r>
    <s v="B-26043"/>
    <n v="8769"/>
    <n v="1989"/>
    <n v="20"/>
    <x v="1"/>
    <s v="Paper"/>
    <x v="0"/>
    <d v="2020-11-03T00:00:00"/>
    <s v="Sara Peterson"/>
    <x v="1"/>
    <s v="Chicago"/>
    <x v="11"/>
    <n v="22.682175846732807"/>
  </r>
  <r>
    <s v="B-26557"/>
    <n v="9057"/>
    <n v="1888"/>
    <n v="19"/>
    <x v="0"/>
    <s v="Printers"/>
    <x v="4"/>
    <d v="2022-05-30T00:00:00"/>
    <s v="Katherine Williams"/>
    <x v="0"/>
    <s v="Orlando"/>
    <x v="37"/>
    <n v="20.845754664900078"/>
  </r>
  <r>
    <s v="B-26557"/>
    <n v="6864"/>
    <n v="3275"/>
    <n v="11"/>
    <x v="2"/>
    <s v="Tables"/>
    <x v="3"/>
    <d v="2022-05-30T00:00:00"/>
    <s v="Katherine Williams"/>
    <x v="0"/>
    <s v="Orlando"/>
    <x v="37"/>
    <n v="47.712703962703962"/>
  </r>
  <r>
    <s v="B-26557"/>
    <n v="9200"/>
    <n v="809"/>
    <n v="13"/>
    <x v="0"/>
    <s v="Laptops"/>
    <x v="4"/>
    <d v="2022-05-30T00:00:00"/>
    <s v="Katherine Williams"/>
    <x v="0"/>
    <s v="Orlando"/>
    <x v="37"/>
    <n v="8.7934782608695645"/>
  </r>
  <r>
    <s v="B-25243"/>
    <n v="6113"/>
    <n v="2508"/>
    <n v="6"/>
    <x v="0"/>
    <s v="Laptops"/>
    <x v="0"/>
    <d v="2024-06-16T00:00:00"/>
    <s v="Cory Evans"/>
    <x v="0"/>
    <s v="Orlando"/>
    <x v="47"/>
    <n v="41.027318828725669"/>
  </r>
  <r>
    <s v="B-25243"/>
    <n v="7733"/>
    <n v="2784"/>
    <n v="15"/>
    <x v="2"/>
    <s v="Tables"/>
    <x v="2"/>
    <d v="2024-06-16T00:00:00"/>
    <s v="Cory Evans"/>
    <x v="0"/>
    <s v="Orlando"/>
    <x v="47"/>
    <n v="36.001551791025477"/>
  </r>
  <r>
    <s v="B-25243"/>
    <n v="8524"/>
    <n v="154"/>
    <n v="14"/>
    <x v="2"/>
    <s v="Tables"/>
    <x v="4"/>
    <d v="2024-06-16T00:00:00"/>
    <s v="Cory Evans"/>
    <x v="0"/>
    <s v="Orlando"/>
    <x v="47"/>
    <n v="1.8066635382449556"/>
  </r>
  <r>
    <s v="B-25243"/>
    <n v="6187"/>
    <n v="2344"/>
    <n v="15"/>
    <x v="2"/>
    <s v="Bookcases"/>
    <x v="2"/>
    <d v="2024-06-16T00:00:00"/>
    <s v="Cory Evans"/>
    <x v="0"/>
    <s v="Orlando"/>
    <x v="47"/>
    <n v="37.885889768870214"/>
  </r>
  <r>
    <s v="B-26932"/>
    <n v="4364"/>
    <n v="148"/>
    <n v="18"/>
    <x v="2"/>
    <s v="Tables"/>
    <x v="2"/>
    <d v="2022-07-15T00:00:00"/>
    <s v="Michael Rodriguez"/>
    <x v="5"/>
    <s v="Cincinnati"/>
    <x v="58"/>
    <n v="3.3913840513290556"/>
  </r>
  <r>
    <s v="B-26932"/>
    <n v="736"/>
    <n v="286"/>
    <n v="12"/>
    <x v="1"/>
    <s v="Pens"/>
    <x v="2"/>
    <d v="2022-07-15T00:00:00"/>
    <s v="Michael Rodriguez"/>
    <x v="5"/>
    <s v="Cincinnati"/>
    <x v="58"/>
    <n v="38.858695652173914"/>
  </r>
  <r>
    <s v="B-25241"/>
    <n v="9905"/>
    <n v="633"/>
    <n v="17"/>
    <x v="1"/>
    <s v="Pens"/>
    <x v="2"/>
    <d v="2021-07-18T00:00:00"/>
    <s v="John Munoz"/>
    <x v="4"/>
    <s v="Dallas"/>
    <x v="2"/>
    <n v="6.3907117617364966"/>
  </r>
  <r>
    <s v="B-25241"/>
    <n v="9905"/>
    <n v="633"/>
    <n v="17"/>
    <x v="1"/>
    <s v="Pens"/>
    <x v="2"/>
    <d v="2021-10-02T00:00:00"/>
    <s v="David Clark"/>
    <x v="0"/>
    <s v="Tampa"/>
    <x v="4"/>
    <n v="6.3907117617364966"/>
  </r>
  <r>
    <s v="B-25044"/>
    <n v="2493"/>
    <n v="1221"/>
    <n v="9"/>
    <x v="1"/>
    <s v="Paper"/>
    <x v="3"/>
    <d v="2024-04-16T00:00:00"/>
    <s v="April Welch"/>
    <x v="1"/>
    <s v="Springfield"/>
    <x v="44"/>
    <n v="48.977135980746091"/>
  </r>
  <r>
    <s v="B-25044"/>
    <n v="9849"/>
    <n v="963"/>
    <n v="1"/>
    <x v="1"/>
    <s v="Pens"/>
    <x v="3"/>
    <d v="2024-04-16T00:00:00"/>
    <s v="April Welch"/>
    <x v="1"/>
    <s v="Springfield"/>
    <x v="44"/>
    <n v="9.7776424002436801"/>
  </r>
  <r>
    <s v="B-26137"/>
    <n v="3423"/>
    <n v="804"/>
    <n v="4"/>
    <x v="0"/>
    <s v="Printers"/>
    <x v="3"/>
    <d v="2020-07-09T00:00:00"/>
    <s v="Alan Livingston"/>
    <x v="1"/>
    <s v="Peoria"/>
    <x v="60"/>
    <n v="23.488168273444344"/>
  </r>
  <r>
    <s v="B-26137"/>
    <n v="3423"/>
    <n v="804"/>
    <n v="4"/>
    <x v="0"/>
    <s v="Printers"/>
    <x v="3"/>
    <d v="2020-07-25T00:00:00"/>
    <s v="Angela Jackson"/>
    <x v="4"/>
    <s v="Dallas"/>
    <x v="60"/>
    <n v="23.488168273444344"/>
  </r>
  <r>
    <s v="B-26137"/>
    <n v="3423"/>
    <n v="804"/>
    <n v="4"/>
    <x v="0"/>
    <s v="Printers"/>
    <x v="3"/>
    <d v="2024-01-24T00:00:00"/>
    <s v="Amy Williams"/>
    <x v="4"/>
    <s v="Austin"/>
    <x v="10"/>
    <n v="23.488168273444344"/>
  </r>
  <r>
    <s v="B-26137"/>
    <n v="3423"/>
    <n v="804"/>
    <n v="4"/>
    <x v="0"/>
    <s v="Printers"/>
    <x v="3"/>
    <d v="2020-05-04T00:00:00"/>
    <s v="Laura Jordan"/>
    <x v="4"/>
    <s v="Dallas"/>
    <x v="8"/>
    <n v="23.488168273444344"/>
  </r>
  <r>
    <s v="B-26137"/>
    <n v="3423"/>
    <n v="804"/>
    <n v="4"/>
    <x v="0"/>
    <s v="Printers"/>
    <x v="3"/>
    <d v="2021-11-13T00:00:00"/>
    <s v="Richard Maynard"/>
    <x v="5"/>
    <s v="Cincinnati"/>
    <x v="35"/>
    <n v="23.488168273444344"/>
  </r>
  <r>
    <s v="B-25545"/>
    <n v="3900"/>
    <n v="115"/>
    <n v="9"/>
    <x v="2"/>
    <s v="Chairs"/>
    <x v="4"/>
    <d v="2023-10-07T00:00:00"/>
    <s v="Lawrence Oliver"/>
    <x v="1"/>
    <s v="Springfield"/>
    <x v="59"/>
    <n v="2.9487179487179485"/>
  </r>
  <r>
    <s v="B-26800"/>
    <n v="8568"/>
    <n v="2419"/>
    <n v="11"/>
    <x v="0"/>
    <s v="Electronic Games"/>
    <x v="0"/>
    <d v="2021-10-23T00:00:00"/>
    <s v="Anthony Williams"/>
    <x v="2"/>
    <s v="Rochester"/>
    <x v="4"/>
    <n v="28.23295985060691"/>
  </r>
  <r>
    <s v="B-26800"/>
    <n v="3283"/>
    <n v="71"/>
    <n v="6"/>
    <x v="1"/>
    <s v="Pens"/>
    <x v="2"/>
    <d v="2021-10-23T00:00:00"/>
    <s v="Anthony Williams"/>
    <x v="2"/>
    <s v="Rochester"/>
    <x v="4"/>
    <n v="2.1626561072190067"/>
  </r>
  <r>
    <s v="B-26987"/>
    <n v="7643"/>
    <n v="3720"/>
    <n v="19"/>
    <x v="0"/>
    <s v="Electronic Games"/>
    <x v="2"/>
    <d v="2022-07-18T00:00:00"/>
    <s v="Lynn Matthews"/>
    <x v="4"/>
    <s v="Dallas"/>
    <x v="58"/>
    <n v="48.671987439487111"/>
  </r>
  <r>
    <s v="B-26144"/>
    <n v="3461"/>
    <n v="1537"/>
    <n v="15"/>
    <x v="2"/>
    <s v="Sofas"/>
    <x v="2"/>
    <d v="2024-08-23T00:00:00"/>
    <s v="Andrew Griffin"/>
    <x v="1"/>
    <s v="Chicago"/>
    <x v="19"/>
    <n v="44.409130309159202"/>
  </r>
  <r>
    <s v="B-26144"/>
    <n v="5714"/>
    <n v="1438"/>
    <n v="6"/>
    <x v="0"/>
    <s v="Electronic Games"/>
    <x v="3"/>
    <d v="2024-08-23T00:00:00"/>
    <s v="Andrew Griffin"/>
    <x v="1"/>
    <s v="Chicago"/>
    <x v="19"/>
    <n v="25.166258312915645"/>
  </r>
  <r>
    <s v="B-26144"/>
    <n v="3853"/>
    <n v="1457"/>
    <n v="10"/>
    <x v="1"/>
    <s v="Binders"/>
    <x v="4"/>
    <d v="2024-08-23T00:00:00"/>
    <s v="Andrew Griffin"/>
    <x v="1"/>
    <s v="Chicago"/>
    <x v="19"/>
    <n v="37.814689852063324"/>
  </r>
  <r>
    <s v="B-25406"/>
    <n v="6016"/>
    <n v="431"/>
    <n v="20"/>
    <x v="1"/>
    <s v="Pens"/>
    <x v="0"/>
    <d v="2020-10-28T00:00:00"/>
    <s v="Megan Williams"/>
    <x v="1"/>
    <s v="Chicago"/>
    <x v="20"/>
    <n v="7.1642287234042552"/>
  </r>
  <r>
    <s v="B-25658"/>
    <n v="1290"/>
    <n v="204"/>
    <n v="12"/>
    <x v="1"/>
    <s v="Markers"/>
    <x v="0"/>
    <d v="2024-06-15T00:00:00"/>
    <s v="Alison Martin"/>
    <x v="2"/>
    <s v="Buffalo"/>
    <x v="47"/>
    <n v="15.813953488372093"/>
  </r>
  <r>
    <s v="B-25658"/>
    <n v="1290"/>
    <n v="204"/>
    <n v="12"/>
    <x v="1"/>
    <s v="Markers"/>
    <x v="0"/>
    <d v="2024-12-19T00:00:00"/>
    <s v="Samuel Wallace"/>
    <x v="3"/>
    <s v="San Francisco"/>
    <x v="1"/>
    <n v="15.813953488372093"/>
  </r>
  <r>
    <s v="B-25733"/>
    <n v="4569"/>
    <n v="1693"/>
    <n v="10"/>
    <x v="0"/>
    <s v="Printers"/>
    <x v="0"/>
    <d v="2020-09-04T00:00:00"/>
    <s v="Manuel Stark"/>
    <x v="1"/>
    <s v="Springfield"/>
    <x v="57"/>
    <n v="37.054059969358718"/>
  </r>
  <r>
    <s v="B-26993"/>
    <n v="3083"/>
    <n v="1151"/>
    <n v="16"/>
    <x v="2"/>
    <s v="Bookcases"/>
    <x v="1"/>
    <d v="2022-04-16T00:00:00"/>
    <s v="William Villarreal"/>
    <x v="0"/>
    <s v="Orlando"/>
    <x v="39"/>
    <n v="37.333765812520269"/>
  </r>
  <r>
    <s v="B-26964"/>
    <n v="3522"/>
    <n v="898"/>
    <n v="15"/>
    <x v="1"/>
    <s v="Pens"/>
    <x v="3"/>
    <d v="2024-08-29T00:00:00"/>
    <s v="Brandon Kirk"/>
    <x v="5"/>
    <s v="Cleveland"/>
    <x v="19"/>
    <n v="25.496876774559908"/>
  </r>
  <r>
    <s v="B-26964"/>
    <n v="3522"/>
    <n v="898"/>
    <n v="15"/>
    <x v="1"/>
    <s v="Pens"/>
    <x v="3"/>
    <d v="2022-01-14T00:00:00"/>
    <s v="Abigail Brown"/>
    <x v="3"/>
    <s v="Los Angeles"/>
    <x v="12"/>
    <n v="25.496876774559908"/>
  </r>
  <r>
    <s v="B-26955"/>
    <n v="7301"/>
    <n v="3602"/>
    <n v="3"/>
    <x v="1"/>
    <s v="Binders"/>
    <x v="1"/>
    <d v="2024-04-07T00:00:00"/>
    <s v="Kristine Carter"/>
    <x v="4"/>
    <s v="Houston"/>
    <x v="44"/>
    <n v="49.335707437337348"/>
  </r>
  <r>
    <s v="B-26059"/>
    <n v="4462"/>
    <n v="121"/>
    <n v="8"/>
    <x v="0"/>
    <s v="Laptops"/>
    <x v="4"/>
    <d v="2022-04-24T00:00:00"/>
    <s v="Wesley Deleon"/>
    <x v="1"/>
    <s v="Springfield"/>
    <x v="39"/>
    <n v="2.7117884356790674"/>
  </r>
  <r>
    <s v="B-26059"/>
    <n v="6212"/>
    <n v="1881"/>
    <n v="17"/>
    <x v="0"/>
    <s v="Phones"/>
    <x v="4"/>
    <d v="2022-04-24T00:00:00"/>
    <s v="Wesley Deleon"/>
    <x v="1"/>
    <s v="Springfield"/>
    <x v="39"/>
    <n v="30.280103026400518"/>
  </r>
  <r>
    <s v="B-26806"/>
    <n v="4027"/>
    <n v="1386"/>
    <n v="3"/>
    <x v="2"/>
    <s v="Bookcases"/>
    <x v="2"/>
    <d v="2020-08-27T00:00:00"/>
    <s v="Laura Cole"/>
    <x v="0"/>
    <s v="Tampa"/>
    <x v="38"/>
    <n v="34.41768065557487"/>
  </r>
  <r>
    <s v="B-26299"/>
    <n v="1676"/>
    <n v="330"/>
    <n v="14"/>
    <x v="0"/>
    <s v="Laptops"/>
    <x v="2"/>
    <d v="2023-03-01T00:00:00"/>
    <s v="Lauren Harris"/>
    <x v="5"/>
    <s v="Cleveland"/>
    <x v="45"/>
    <n v="19.689737470167064"/>
  </r>
  <r>
    <s v="B-26299"/>
    <n v="3927"/>
    <n v="1133"/>
    <n v="12"/>
    <x v="2"/>
    <s v="Bookcases"/>
    <x v="4"/>
    <d v="2023-03-01T00:00:00"/>
    <s v="Lauren Harris"/>
    <x v="5"/>
    <s v="Cleveland"/>
    <x v="45"/>
    <n v="28.851540616246496"/>
  </r>
  <r>
    <s v="B-26299"/>
    <n v="2776"/>
    <n v="887"/>
    <n v="9"/>
    <x v="0"/>
    <s v="Phones"/>
    <x v="1"/>
    <d v="2023-03-01T00:00:00"/>
    <s v="Lauren Harris"/>
    <x v="5"/>
    <s v="Cleveland"/>
    <x v="45"/>
    <n v="31.952449567723345"/>
  </r>
  <r>
    <s v="B-26743"/>
    <n v="7684"/>
    <n v="1157"/>
    <n v="12"/>
    <x v="2"/>
    <s v="Sofas"/>
    <x v="4"/>
    <d v="2020-10-02T00:00:00"/>
    <s v="Cameron Miller"/>
    <x v="1"/>
    <s v="Chicago"/>
    <x v="20"/>
    <n v="15.057261842790211"/>
  </r>
  <r>
    <s v="B-26743"/>
    <n v="7684"/>
    <n v="1157"/>
    <n v="12"/>
    <x v="2"/>
    <s v="Sofas"/>
    <x v="4"/>
    <d v="2020-06-23T00:00:00"/>
    <s v="Jacob Carpenter"/>
    <x v="2"/>
    <s v="Buffalo"/>
    <x v="53"/>
    <n v="15.057261842790211"/>
  </r>
  <r>
    <s v="B-26743"/>
    <n v="7684"/>
    <n v="1157"/>
    <n v="12"/>
    <x v="2"/>
    <s v="Sofas"/>
    <x v="4"/>
    <d v="2023-08-21T00:00:00"/>
    <s v="Pamela Callahan DVM"/>
    <x v="5"/>
    <s v="Columbus"/>
    <x v="21"/>
    <n v="15.057261842790211"/>
  </r>
  <r>
    <s v="B-26757"/>
    <n v="6008"/>
    <n v="2498"/>
    <n v="17"/>
    <x v="0"/>
    <s v="Phones"/>
    <x v="3"/>
    <d v="2022-07-16T00:00:00"/>
    <s v="William Ruiz"/>
    <x v="0"/>
    <s v="Miami"/>
    <x v="58"/>
    <n v="41.577896138482025"/>
  </r>
  <r>
    <s v="B-26772"/>
    <n v="7344"/>
    <n v="2598"/>
    <n v="20"/>
    <x v="2"/>
    <s v="Bookcases"/>
    <x v="4"/>
    <d v="2022-08-01T00:00:00"/>
    <s v="Paula Marshall"/>
    <x v="4"/>
    <s v="Dallas"/>
    <x v="40"/>
    <n v="35.375816993464056"/>
  </r>
  <r>
    <s v="B-26088"/>
    <n v="6932"/>
    <n v="3218"/>
    <n v="20"/>
    <x v="1"/>
    <s v="Pens"/>
    <x v="4"/>
    <d v="2020-07-16T00:00:00"/>
    <s v="Natalie Cox"/>
    <x v="0"/>
    <s v="Orlando"/>
    <x v="60"/>
    <n v="46.422388920946332"/>
  </r>
  <r>
    <s v="B-26319"/>
    <n v="7748"/>
    <n v="1706"/>
    <n v="16"/>
    <x v="0"/>
    <s v="Electronic Games"/>
    <x v="2"/>
    <d v="2020-05-02T00:00:00"/>
    <s v="Andrew Fernandez"/>
    <x v="5"/>
    <s v="Cincinnati"/>
    <x v="8"/>
    <n v="22.018585441404234"/>
  </r>
  <r>
    <s v="B-26319"/>
    <n v="6381"/>
    <n v="2763"/>
    <n v="20"/>
    <x v="1"/>
    <s v="Markers"/>
    <x v="0"/>
    <d v="2020-05-02T00:00:00"/>
    <s v="Andrew Fernandez"/>
    <x v="5"/>
    <s v="Cincinnati"/>
    <x v="8"/>
    <n v="43.30042313117066"/>
  </r>
  <r>
    <s v="B-26319"/>
    <n v="992"/>
    <n v="64"/>
    <n v="6"/>
    <x v="0"/>
    <s v="Phones"/>
    <x v="3"/>
    <d v="2020-05-02T00:00:00"/>
    <s v="Andrew Fernandez"/>
    <x v="5"/>
    <s v="Cincinnati"/>
    <x v="8"/>
    <n v="6.4516129032258061"/>
  </r>
  <r>
    <s v="B-25364"/>
    <n v="8649"/>
    <n v="2631"/>
    <n v="13"/>
    <x v="0"/>
    <s v="Laptops"/>
    <x v="2"/>
    <d v="2024-01-10T00:00:00"/>
    <s v="Alisha Saunders"/>
    <x v="3"/>
    <s v="San Francisco"/>
    <x v="10"/>
    <n v="30.41970169961845"/>
  </r>
  <r>
    <s v="B-25364"/>
    <n v="8649"/>
    <n v="2631"/>
    <n v="13"/>
    <x v="0"/>
    <s v="Laptops"/>
    <x v="2"/>
    <d v="2020-09-30T00:00:00"/>
    <s v="Travis Chandler DDS"/>
    <x v="2"/>
    <s v="Rochester"/>
    <x v="57"/>
    <n v="30.41970169961845"/>
  </r>
  <r>
    <s v="B-25655"/>
    <n v="4099"/>
    <n v="52"/>
    <n v="18"/>
    <x v="0"/>
    <s v="Laptops"/>
    <x v="0"/>
    <d v="2022-03-28T00:00:00"/>
    <s v="Russell Austin"/>
    <x v="2"/>
    <s v="New York City"/>
    <x v="25"/>
    <n v="1.2686020980727006"/>
  </r>
  <r>
    <s v="B-26864"/>
    <n v="2539"/>
    <n v="324"/>
    <n v="5"/>
    <x v="0"/>
    <s v="Electronic Games"/>
    <x v="0"/>
    <d v="2021-01-30T00:00:00"/>
    <s v="Collin Cameron"/>
    <x v="3"/>
    <s v="San Francisco"/>
    <x v="49"/>
    <n v="12.760929499803073"/>
  </r>
  <r>
    <s v="B-26019"/>
    <n v="9845"/>
    <n v="3062"/>
    <n v="9"/>
    <x v="1"/>
    <s v="Paper"/>
    <x v="4"/>
    <d v="2025-03-14T00:00:00"/>
    <s v="Elizabeth Hernandez"/>
    <x v="0"/>
    <s v="Orlando"/>
    <x v="30"/>
    <n v="31.102082275266635"/>
  </r>
  <r>
    <s v="B-25849"/>
    <n v="2901"/>
    <n v="1411"/>
    <n v="2"/>
    <x v="1"/>
    <s v="Paper"/>
    <x v="1"/>
    <d v="2021-10-26T00:00:00"/>
    <s v="William Russell"/>
    <x v="4"/>
    <s v="Austin"/>
    <x v="4"/>
    <n v="48.638400551533955"/>
  </r>
  <r>
    <s v="B-25849"/>
    <n v="2901"/>
    <n v="1411"/>
    <n v="2"/>
    <x v="1"/>
    <s v="Paper"/>
    <x v="1"/>
    <d v="2023-01-11T00:00:00"/>
    <s v="Sheri Berg"/>
    <x v="3"/>
    <s v="Los Angeles"/>
    <x v="54"/>
    <n v="48.638400551533955"/>
  </r>
  <r>
    <s v="B-25849"/>
    <n v="6934"/>
    <n v="1152"/>
    <n v="6"/>
    <x v="1"/>
    <s v="Pens"/>
    <x v="3"/>
    <d v="2021-10-26T00:00:00"/>
    <s v="William Russell"/>
    <x v="4"/>
    <s v="Austin"/>
    <x v="4"/>
    <n v="16.613787135852323"/>
  </r>
  <r>
    <s v="B-25849"/>
    <n v="6934"/>
    <n v="1152"/>
    <n v="6"/>
    <x v="1"/>
    <s v="Pens"/>
    <x v="3"/>
    <d v="2023-01-11T00:00:00"/>
    <s v="Sheri Berg"/>
    <x v="3"/>
    <s v="Los Angeles"/>
    <x v="54"/>
    <n v="16.613787135852323"/>
  </r>
  <r>
    <s v="B-25829"/>
    <n v="9640"/>
    <n v="2606"/>
    <n v="2"/>
    <x v="2"/>
    <s v="Bookcases"/>
    <x v="3"/>
    <d v="2021-10-31T00:00:00"/>
    <s v="Anthony Barnett"/>
    <x v="1"/>
    <s v="Peoria"/>
    <x v="4"/>
    <n v="27.033195020746888"/>
  </r>
  <r>
    <s v="B-26065"/>
    <n v="7930"/>
    <n v="1981"/>
    <n v="13"/>
    <x v="2"/>
    <s v="Chairs"/>
    <x v="3"/>
    <d v="2023-05-04T00:00:00"/>
    <s v="Kaitlyn Flores"/>
    <x v="5"/>
    <s v="Cleveland"/>
    <x v="23"/>
    <n v="24.981084489281212"/>
  </r>
  <r>
    <s v="B-26065"/>
    <n v="7930"/>
    <n v="1981"/>
    <n v="13"/>
    <x v="2"/>
    <s v="Chairs"/>
    <x v="3"/>
    <d v="2024-08-09T00:00:00"/>
    <s v="Rebecca Owen"/>
    <x v="1"/>
    <s v="Springfield"/>
    <x v="19"/>
    <n v="24.981084489281212"/>
  </r>
  <r>
    <s v="B-25267"/>
    <n v="9894"/>
    <n v="829"/>
    <n v="1"/>
    <x v="1"/>
    <s v="Binders"/>
    <x v="4"/>
    <d v="2022-08-21T00:00:00"/>
    <s v="Michael Bell"/>
    <x v="3"/>
    <s v="San Diego"/>
    <x v="40"/>
    <n v="8.3788154437032532"/>
  </r>
  <r>
    <s v="B-25267"/>
    <n v="4534"/>
    <n v="2235"/>
    <n v="4"/>
    <x v="2"/>
    <s v="Tables"/>
    <x v="4"/>
    <d v="2022-08-21T00:00:00"/>
    <s v="Michael Bell"/>
    <x v="3"/>
    <s v="San Diego"/>
    <x v="40"/>
    <n v="49.294221438023825"/>
  </r>
  <r>
    <s v="B-25972"/>
    <n v="4911"/>
    <n v="186"/>
    <n v="20"/>
    <x v="0"/>
    <s v="Phones"/>
    <x v="1"/>
    <d v="2022-06-19T00:00:00"/>
    <s v="Willie Huynh"/>
    <x v="2"/>
    <s v="Buffalo"/>
    <x v="33"/>
    <n v="3.7874160048869885"/>
  </r>
  <r>
    <s v="B-25972"/>
    <n v="531"/>
    <n v="189"/>
    <n v="20"/>
    <x v="2"/>
    <s v="Bookcases"/>
    <x v="1"/>
    <d v="2022-06-19T00:00:00"/>
    <s v="Willie Huynh"/>
    <x v="2"/>
    <s v="Buffalo"/>
    <x v="33"/>
    <n v="35.593220338983052"/>
  </r>
  <r>
    <s v="B-25511"/>
    <n v="9707"/>
    <n v="3483"/>
    <n v="10"/>
    <x v="0"/>
    <s v="Electronic Games"/>
    <x v="2"/>
    <d v="2025-01-29T00:00:00"/>
    <s v="Samuel Hayes"/>
    <x v="1"/>
    <s v="Peoria"/>
    <x v="52"/>
    <n v="35.881322756773464"/>
  </r>
  <r>
    <s v="B-25511"/>
    <n v="8521"/>
    <n v="2584"/>
    <n v="7"/>
    <x v="1"/>
    <s v="Paper"/>
    <x v="4"/>
    <d v="2025-01-29T00:00:00"/>
    <s v="Samuel Hayes"/>
    <x v="1"/>
    <s v="Peoria"/>
    <x v="52"/>
    <n v="30.325079216054451"/>
  </r>
  <r>
    <s v="B-25744"/>
    <n v="8438"/>
    <n v="3427"/>
    <n v="12"/>
    <x v="1"/>
    <s v="Binders"/>
    <x v="3"/>
    <d v="2022-01-14T00:00:00"/>
    <s v="Sherry Tran"/>
    <x v="2"/>
    <s v="Buffalo"/>
    <x v="12"/>
    <n v="40.613889547286085"/>
  </r>
  <r>
    <s v="B-25744"/>
    <n v="1689"/>
    <n v="109"/>
    <n v="9"/>
    <x v="0"/>
    <s v="Electronic Games"/>
    <x v="0"/>
    <d v="2022-01-14T00:00:00"/>
    <s v="Sherry Tran"/>
    <x v="2"/>
    <s v="Buffalo"/>
    <x v="12"/>
    <n v="6.45352279455299"/>
  </r>
  <r>
    <s v="B-25744"/>
    <n v="3936"/>
    <n v="1626"/>
    <n v="14"/>
    <x v="1"/>
    <s v="Paper"/>
    <x v="4"/>
    <d v="2022-01-14T00:00:00"/>
    <s v="Sherry Tran"/>
    <x v="2"/>
    <s v="Buffalo"/>
    <x v="12"/>
    <n v="41.310975609756099"/>
  </r>
  <r>
    <s v="B-26805"/>
    <n v="7664"/>
    <n v="1753"/>
    <n v="19"/>
    <x v="0"/>
    <s v="Phones"/>
    <x v="1"/>
    <d v="2023-06-15T00:00:00"/>
    <s v="Heather Gray"/>
    <x v="5"/>
    <s v="Cincinnati"/>
    <x v="0"/>
    <n v="22.873173277661795"/>
  </r>
  <r>
    <s v="B-25620"/>
    <n v="721"/>
    <n v="258"/>
    <n v="13"/>
    <x v="0"/>
    <s v="Laptops"/>
    <x v="1"/>
    <d v="2023-10-18T00:00:00"/>
    <s v="Benjamin Meadows"/>
    <x v="1"/>
    <s v="Peoria"/>
    <x v="59"/>
    <n v="35.783633841886271"/>
  </r>
  <r>
    <s v="B-25620"/>
    <n v="721"/>
    <n v="258"/>
    <n v="13"/>
    <x v="0"/>
    <s v="Laptops"/>
    <x v="1"/>
    <d v="2022-06-13T00:00:00"/>
    <s v="Micheal Graham"/>
    <x v="2"/>
    <s v="Buffalo"/>
    <x v="33"/>
    <n v="35.783633841886271"/>
  </r>
  <r>
    <s v="B-25620"/>
    <n v="8364"/>
    <n v="3055"/>
    <n v="17"/>
    <x v="0"/>
    <s v="Laptops"/>
    <x v="3"/>
    <d v="2023-10-18T00:00:00"/>
    <s v="Benjamin Meadows"/>
    <x v="1"/>
    <s v="Peoria"/>
    <x v="59"/>
    <n v="36.525585844093733"/>
  </r>
  <r>
    <s v="B-25620"/>
    <n v="8364"/>
    <n v="3055"/>
    <n v="17"/>
    <x v="0"/>
    <s v="Laptops"/>
    <x v="3"/>
    <d v="2022-06-13T00:00:00"/>
    <s v="Micheal Graham"/>
    <x v="2"/>
    <s v="Buffalo"/>
    <x v="33"/>
    <n v="36.525585844093733"/>
  </r>
  <r>
    <s v="B-25620"/>
    <n v="5234"/>
    <n v="2021"/>
    <n v="15"/>
    <x v="2"/>
    <s v="Bookcases"/>
    <x v="2"/>
    <d v="2023-10-18T00:00:00"/>
    <s v="Benjamin Meadows"/>
    <x v="1"/>
    <s v="Peoria"/>
    <x v="59"/>
    <n v="38.61291555215896"/>
  </r>
  <r>
    <s v="B-25620"/>
    <n v="5234"/>
    <n v="2021"/>
    <n v="15"/>
    <x v="2"/>
    <s v="Bookcases"/>
    <x v="2"/>
    <d v="2022-06-13T00:00:00"/>
    <s v="Micheal Graham"/>
    <x v="2"/>
    <s v="Buffalo"/>
    <x v="33"/>
    <n v="38.61291555215896"/>
  </r>
  <r>
    <s v="B-25325"/>
    <n v="3944"/>
    <n v="1559"/>
    <n v="18"/>
    <x v="0"/>
    <s v="Phones"/>
    <x v="3"/>
    <d v="2024-06-12T00:00:00"/>
    <s v="Jean Jackson"/>
    <x v="3"/>
    <s v="San Francisco"/>
    <x v="47"/>
    <n v="39.528397565922923"/>
  </r>
  <r>
    <s v="B-25325"/>
    <n v="6711"/>
    <n v="1045"/>
    <n v="12"/>
    <x v="1"/>
    <s v="Pens"/>
    <x v="3"/>
    <d v="2024-06-12T00:00:00"/>
    <s v="Jean Jackson"/>
    <x v="3"/>
    <s v="San Francisco"/>
    <x v="47"/>
    <n v="15.571449858441365"/>
  </r>
  <r>
    <s v="B-25325"/>
    <n v="5031"/>
    <n v="714"/>
    <n v="4"/>
    <x v="2"/>
    <s v="Tables"/>
    <x v="3"/>
    <d v="2024-06-12T00:00:00"/>
    <s v="Jean Jackson"/>
    <x v="3"/>
    <s v="San Francisco"/>
    <x v="47"/>
    <n v="14.192009540846751"/>
  </r>
  <r>
    <s v="B-25325"/>
    <n v="6295"/>
    <n v="2469"/>
    <n v="14"/>
    <x v="1"/>
    <s v="Binders"/>
    <x v="2"/>
    <d v="2024-06-12T00:00:00"/>
    <s v="Jean Jackson"/>
    <x v="3"/>
    <s v="San Francisco"/>
    <x v="47"/>
    <n v="39.221604447974585"/>
  </r>
  <r>
    <s v="B-25131"/>
    <n v="9654"/>
    <n v="4111"/>
    <n v="1"/>
    <x v="1"/>
    <s v="Paper"/>
    <x v="0"/>
    <d v="2022-06-27T00:00:00"/>
    <s v="Timothy Murphy"/>
    <x v="3"/>
    <s v="San Francisco"/>
    <x v="33"/>
    <n v="42.583385125336648"/>
  </r>
  <r>
    <s v="B-25131"/>
    <n v="3112"/>
    <n v="1065"/>
    <n v="20"/>
    <x v="1"/>
    <s v="Binders"/>
    <x v="4"/>
    <d v="2022-06-27T00:00:00"/>
    <s v="Timothy Murphy"/>
    <x v="3"/>
    <s v="San Francisco"/>
    <x v="33"/>
    <n v="34.222365038560412"/>
  </r>
  <r>
    <s v="B-26654"/>
    <n v="7838"/>
    <n v="1142"/>
    <n v="13"/>
    <x v="0"/>
    <s v="Phones"/>
    <x v="0"/>
    <d v="2021-02-18T00:00:00"/>
    <s v="Mrs. Jennifer Lewis"/>
    <x v="3"/>
    <s v="San Francisco"/>
    <x v="51"/>
    <n v="14.570043378412862"/>
  </r>
  <r>
    <s v="B-26654"/>
    <n v="9300"/>
    <n v="3146"/>
    <n v="6"/>
    <x v="0"/>
    <s v="Phones"/>
    <x v="3"/>
    <d v="2021-02-18T00:00:00"/>
    <s v="Mrs. Jennifer Lewis"/>
    <x v="3"/>
    <s v="San Francisco"/>
    <x v="51"/>
    <n v="33.827956989247312"/>
  </r>
  <r>
    <s v="B-26654"/>
    <n v="1733"/>
    <n v="133"/>
    <n v="17"/>
    <x v="1"/>
    <s v="Paper"/>
    <x v="1"/>
    <d v="2021-02-18T00:00:00"/>
    <s v="Mrs. Jennifer Lewis"/>
    <x v="3"/>
    <s v="San Francisco"/>
    <x v="51"/>
    <n v="7.6745527986151183"/>
  </r>
  <r>
    <s v="B-26195"/>
    <n v="874"/>
    <n v="235"/>
    <n v="15"/>
    <x v="1"/>
    <s v="Binders"/>
    <x v="1"/>
    <d v="2023-05-29T00:00:00"/>
    <s v="Bryan Brown"/>
    <x v="2"/>
    <s v="Rochester"/>
    <x v="23"/>
    <n v="26.887871853546912"/>
  </r>
  <r>
    <s v="B-26195"/>
    <n v="874"/>
    <n v="235"/>
    <n v="15"/>
    <x v="1"/>
    <s v="Binders"/>
    <x v="1"/>
    <d v="2021-06-04T00:00:00"/>
    <s v="Christopher Johnson"/>
    <x v="0"/>
    <s v="Miami"/>
    <x v="22"/>
    <n v="26.887871853546912"/>
  </r>
  <r>
    <s v="B-25842"/>
    <n v="1248"/>
    <n v="584"/>
    <n v="13"/>
    <x v="1"/>
    <s v="Pens"/>
    <x v="2"/>
    <d v="2024-01-22T00:00:00"/>
    <s v="Christina Conner"/>
    <x v="5"/>
    <s v="Columbus"/>
    <x v="10"/>
    <n v="46.794871794871796"/>
  </r>
  <r>
    <s v="B-25842"/>
    <n v="1248"/>
    <n v="584"/>
    <n v="13"/>
    <x v="1"/>
    <s v="Pens"/>
    <x v="2"/>
    <d v="2022-12-27T00:00:00"/>
    <s v="Luis Luna"/>
    <x v="3"/>
    <s v="San Francisco"/>
    <x v="29"/>
    <n v="46.794871794871796"/>
  </r>
  <r>
    <s v="B-25842"/>
    <n v="3669"/>
    <n v="154"/>
    <n v="14"/>
    <x v="1"/>
    <s v="Markers"/>
    <x v="2"/>
    <d v="2024-01-22T00:00:00"/>
    <s v="Christina Conner"/>
    <x v="5"/>
    <s v="Columbus"/>
    <x v="10"/>
    <n v="4.1973289724720635"/>
  </r>
  <r>
    <s v="B-25842"/>
    <n v="3669"/>
    <n v="154"/>
    <n v="14"/>
    <x v="1"/>
    <s v="Markers"/>
    <x v="2"/>
    <d v="2022-12-27T00:00:00"/>
    <s v="Luis Luna"/>
    <x v="3"/>
    <s v="San Francisco"/>
    <x v="29"/>
    <n v="4.1973289724720635"/>
  </r>
  <r>
    <s v="B-25842"/>
    <n v="514"/>
    <n v="109"/>
    <n v="15"/>
    <x v="1"/>
    <s v="Paper"/>
    <x v="1"/>
    <d v="2024-01-22T00:00:00"/>
    <s v="Christina Conner"/>
    <x v="5"/>
    <s v="Columbus"/>
    <x v="10"/>
    <n v="21.206225680933851"/>
  </r>
  <r>
    <s v="B-25842"/>
    <n v="514"/>
    <n v="109"/>
    <n v="15"/>
    <x v="1"/>
    <s v="Paper"/>
    <x v="1"/>
    <d v="2022-12-27T00:00:00"/>
    <s v="Luis Luna"/>
    <x v="3"/>
    <s v="San Francisco"/>
    <x v="29"/>
    <n v="21.206225680933851"/>
  </r>
  <r>
    <s v="B-25851"/>
    <n v="3273"/>
    <n v="85"/>
    <n v="16"/>
    <x v="0"/>
    <s v="Phones"/>
    <x v="0"/>
    <d v="2024-03-30T00:00:00"/>
    <s v="Julie Chavez"/>
    <x v="5"/>
    <s v="Cincinnati"/>
    <x v="55"/>
    <n v="2.5970058050717997"/>
  </r>
  <r>
    <s v="B-25427"/>
    <n v="5035"/>
    <n v="2008"/>
    <n v="2"/>
    <x v="2"/>
    <s v="Chairs"/>
    <x v="4"/>
    <d v="2020-04-04T00:00:00"/>
    <s v="Richard Blair"/>
    <x v="0"/>
    <s v="Miami"/>
    <x v="32"/>
    <n v="39.880834160873881"/>
  </r>
  <r>
    <s v="B-25427"/>
    <n v="7702"/>
    <n v="60"/>
    <n v="19"/>
    <x v="0"/>
    <s v="Printers"/>
    <x v="0"/>
    <d v="2020-04-04T00:00:00"/>
    <s v="Richard Blair"/>
    <x v="0"/>
    <s v="Miami"/>
    <x v="32"/>
    <n v="0.7790184367696702"/>
  </r>
  <r>
    <s v="B-25427"/>
    <n v="9884"/>
    <n v="4446"/>
    <n v="7"/>
    <x v="0"/>
    <s v="Printers"/>
    <x v="2"/>
    <d v="2020-04-04T00:00:00"/>
    <s v="Richard Blair"/>
    <x v="0"/>
    <s v="Miami"/>
    <x v="32"/>
    <n v="44.981788749494136"/>
  </r>
  <r>
    <s v="B-26224"/>
    <n v="5564"/>
    <n v="175"/>
    <n v="11"/>
    <x v="0"/>
    <s v="Laptops"/>
    <x v="4"/>
    <d v="2023-01-22T00:00:00"/>
    <s v="Mitchell Lester"/>
    <x v="1"/>
    <s v="Chicago"/>
    <x v="54"/>
    <n v="3.145219266714594"/>
  </r>
  <r>
    <s v="B-26224"/>
    <n v="5564"/>
    <n v="175"/>
    <n v="11"/>
    <x v="0"/>
    <s v="Laptops"/>
    <x v="4"/>
    <d v="2022-04-12T00:00:00"/>
    <s v="Mr. John Tyler PhD"/>
    <x v="4"/>
    <s v="Houston"/>
    <x v="39"/>
    <n v="3.145219266714594"/>
  </r>
  <r>
    <s v="B-26224"/>
    <n v="5564"/>
    <n v="175"/>
    <n v="11"/>
    <x v="0"/>
    <s v="Laptops"/>
    <x v="4"/>
    <d v="2023-12-13T00:00:00"/>
    <s v="Juan Kelly"/>
    <x v="0"/>
    <s v="Miami"/>
    <x v="16"/>
    <n v="3.145219266714594"/>
  </r>
  <r>
    <s v="B-26224"/>
    <n v="3953"/>
    <n v="1776"/>
    <n v="15"/>
    <x v="0"/>
    <s v="Electronic Games"/>
    <x v="0"/>
    <d v="2023-01-22T00:00:00"/>
    <s v="Mitchell Lester"/>
    <x v="1"/>
    <s v="Chicago"/>
    <x v="54"/>
    <n v="44.927902858588418"/>
  </r>
  <r>
    <s v="B-26224"/>
    <n v="3953"/>
    <n v="1776"/>
    <n v="15"/>
    <x v="0"/>
    <s v="Electronic Games"/>
    <x v="0"/>
    <d v="2022-04-12T00:00:00"/>
    <s v="Mr. John Tyler PhD"/>
    <x v="4"/>
    <s v="Houston"/>
    <x v="39"/>
    <n v="44.927902858588418"/>
  </r>
  <r>
    <s v="B-26224"/>
    <n v="3953"/>
    <n v="1776"/>
    <n v="15"/>
    <x v="0"/>
    <s v="Electronic Games"/>
    <x v="0"/>
    <d v="2023-12-13T00:00:00"/>
    <s v="Juan Kelly"/>
    <x v="0"/>
    <s v="Miami"/>
    <x v="16"/>
    <n v="44.927902858588418"/>
  </r>
  <r>
    <s v="B-26896"/>
    <n v="6488"/>
    <n v="1591"/>
    <n v="18"/>
    <x v="0"/>
    <s v="Printers"/>
    <x v="2"/>
    <d v="2023-05-24T00:00:00"/>
    <s v="Morgan Mccarthy"/>
    <x v="4"/>
    <s v="Dallas"/>
    <x v="23"/>
    <n v="24.522194821208384"/>
  </r>
  <r>
    <s v="B-26896"/>
    <n v="6488"/>
    <n v="1591"/>
    <n v="18"/>
    <x v="0"/>
    <s v="Printers"/>
    <x v="2"/>
    <d v="2020-11-29T00:00:00"/>
    <s v="Morgan Sullivan"/>
    <x v="4"/>
    <s v="Houston"/>
    <x v="11"/>
    <n v="24.522194821208384"/>
  </r>
  <r>
    <s v="B-26469"/>
    <n v="7856"/>
    <n v="3699"/>
    <n v="17"/>
    <x v="0"/>
    <s v="Electronic Games"/>
    <x v="0"/>
    <d v="2021-03-24T00:00:00"/>
    <s v="Eric Clark"/>
    <x v="0"/>
    <s v="Orlando"/>
    <x v="34"/>
    <n v="47.085030549898164"/>
  </r>
  <r>
    <s v="B-26469"/>
    <n v="1165"/>
    <n v="51"/>
    <n v="3"/>
    <x v="1"/>
    <s v="Pens"/>
    <x v="2"/>
    <d v="2021-03-24T00:00:00"/>
    <s v="Eric Clark"/>
    <x v="0"/>
    <s v="Orlando"/>
    <x v="34"/>
    <n v="4.377682403433476"/>
  </r>
  <r>
    <s v="B-26219"/>
    <n v="9386"/>
    <n v="2555"/>
    <n v="20"/>
    <x v="1"/>
    <s v="Markers"/>
    <x v="3"/>
    <d v="2020-08-19T00:00:00"/>
    <s v="Mark Padilla"/>
    <x v="3"/>
    <s v="San Diego"/>
    <x v="38"/>
    <n v="27.221393564883872"/>
  </r>
  <r>
    <s v="B-26219"/>
    <n v="9386"/>
    <n v="2555"/>
    <n v="20"/>
    <x v="1"/>
    <s v="Markers"/>
    <x v="3"/>
    <d v="2022-10-20T00:00:00"/>
    <s v="Anthony Lane"/>
    <x v="5"/>
    <s v="Cleveland"/>
    <x v="15"/>
    <n v="27.221393564883872"/>
  </r>
  <r>
    <s v="B-26119"/>
    <n v="3956"/>
    <n v="142"/>
    <n v="12"/>
    <x v="1"/>
    <s v="Pens"/>
    <x v="1"/>
    <d v="2023-09-20T00:00:00"/>
    <s v="Jeffrey Henderson"/>
    <x v="0"/>
    <s v="Tampa"/>
    <x v="48"/>
    <n v="3.5894843276036399"/>
  </r>
  <r>
    <s v="B-26119"/>
    <n v="3956"/>
    <n v="142"/>
    <n v="12"/>
    <x v="1"/>
    <s v="Pens"/>
    <x v="1"/>
    <d v="2024-12-26T00:00:00"/>
    <s v="Michelle Hardy"/>
    <x v="4"/>
    <s v="Dallas"/>
    <x v="1"/>
    <n v="3.5894843276036399"/>
  </r>
  <r>
    <s v="B-26119"/>
    <n v="6449"/>
    <n v="2628"/>
    <n v="11"/>
    <x v="2"/>
    <s v="Bookcases"/>
    <x v="2"/>
    <d v="2023-09-20T00:00:00"/>
    <s v="Jeffrey Henderson"/>
    <x v="0"/>
    <s v="Tampa"/>
    <x v="48"/>
    <n v="40.750503954101411"/>
  </r>
  <r>
    <s v="B-26119"/>
    <n v="6449"/>
    <n v="2628"/>
    <n v="11"/>
    <x v="2"/>
    <s v="Bookcases"/>
    <x v="2"/>
    <d v="2024-12-26T00:00:00"/>
    <s v="Michelle Hardy"/>
    <x v="4"/>
    <s v="Dallas"/>
    <x v="1"/>
    <n v="40.750503954101411"/>
  </r>
  <r>
    <s v="B-26988"/>
    <n v="6255"/>
    <n v="437"/>
    <n v="18"/>
    <x v="1"/>
    <s v="Markers"/>
    <x v="4"/>
    <d v="2021-12-03T00:00:00"/>
    <s v="Ms. Barbara Cervantes"/>
    <x v="2"/>
    <s v="Rochester"/>
    <x v="13"/>
    <n v="6.9864108713029571"/>
  </r>
  <r>
    <s v="B-26988"/>
    <n v="2109"/>
    <n v="681"/>
    <n v="20"/>
    <x v="0"/>
    <s v="Electronic Games"/>
    <x v="0"/>
    <d v="2021-12-03T00:00:00"/>
    <s v="Ms. Barbara Cervantes"/>
    <x v="2"/>
    <s v="Rochester"/>
    <x v="13"/>
    <n v="32.290184921763867"/>
  </r>
  <r>
    <s v="B-25596"/>
    <n v="6707"/>
    <n v="1041"/>
    <n v="20"/>
    <x v="0"/>
    <s v="Phones"/>
    <x v="3"/>
    <d v="2021-09-14T00:00:00"/>
    <s v="Steven Proctor"/>
    <x v="4"/>
    <s v="Austin"/>
    <x v="43"/>
    <n v="15.521097360966154"/>
  </r>
  <r>
    <s v="B-26845"/>
    <n v="7633"/>
    <n v="184"/>
    <n v="13"/>
    <x v="1"/>
    <s v="Pens"/>
    <x v="4"/>
    <d v="2021-09-30T00:00:00"/>
    <s v="Shannon Patterson"/>
    <x v="1"/>
    <s v="Springfield"/>
    <x v="43"/>
    <n v="2.4105856150923621"/>
  </r>
  <r>
    <s v="B-25099"/>
    <n v="975"/>
    <n v="224"/>
    <n v="18"/>
    <x v="1"/>
    <s v="Pens"/>
    <x v="4"/>
    <d v="2021-12-22T00:00:00"/>
    <s v="William Valdez"/>
    <x v="3"/>
    <s v="San Diego"/>
    <x v="13"/>
    <n v="22.974358974358974"/>
  </r>
  <r>
    <s v="B-25099"/>
    <n v="4492"/>
    <n v="1450"/>
    <n v="7"/>
    <x v="2"/>
    <s v="Tables"/>
    <x v="2"/>
    <d v="2021-12-22T00:00:00"/>
    <s v="William Valdez"/>
    <x v="3"/>
    <s v="San Diego"/>
    <x v="13"/>
    <n v="32.279608192341939"/>
  </r>
  <r>
    <s v="B-25099"/>
    <n v="7957"/>
    <n v="2834"/>
    <n v="12"/>
    <x v="2"/>
    <s v="Chairs"/>
    <x v="0"/>
    <d v="2021-12-22T00:00:00"/>
    <s v="William Valdez"/>
    <x v="3"/>
    <s v="San Diego"/>
    <x v="13"/>
    <n v="35.61643835616438"/>
  </r>
  <r>
    <s v="B-26153"/>
    <n v="4906"/>
    <n v="975"/>
    <n v="7"/>
    <x v="2"/>
    <s v="Tables"/>
    <x v="1"/>
    <d v="2022-05-18T00:00:00"/>
    <s v="Laura Yu"/>
    <x v="4"/>
    <s v="Houston"/>
    <x v="37"/>
    <n v="19.873624133713818"/>
  </r>
  <r>
    <s v="B-25060"/>
    <n v="1379"/>
    <n v="250"/>
    <n v="3"/>
    <x v="1"/>
    <s v="Pens"/>
    <x v="3"/>
    <d v="2020-10-08T00:00:00"/>
    <s v="Jonathan Mcmillan"/>
    <x v="2"/>
    <s v="Buffalo"/>
    <x v="20"/>
    <n v="18.129079042784628"/>
  </r>
  <r>
    <s v="B-25060"/>
    <n v="4244"/>
    <n v="340"/>
    <n v="10"/>
    <x v="0"/>
    <s v="Laptops"/>
    <x v="1"/>
    <d v="2020-10-08T00:00:00"/>
    <s v="Jonathan Mcmillan"/>
    <x v="2"/>
    <s v="Buffalo"/>
    <x v="20"/>
    <n v="8.0113100848256362"/>
  </r>
  <r>
    <s v="B-26572"/>
    <n v="5911"/>
    <n v="2333"/>
    <n v="14"/>
    <x v="2"/>
    <s v="Bookcases"/>
    <x v="2"/>
    <d v="2022-08-20T00:00:00"/>
    <s v="Austin Davis"/>
    <x v="3"/>
    <s v="San Diego"/>
    <x v="40"/>
    <n v="39.468787007274578"/>
  </r>
  <r>
    <s v="B-26572"/>
    <n v="5911"/>
    <n v="2333"/>
    <n v="14"/>
    <x v="2"/>
    <s v="Bookcases"/>
    <x v="2"/>
    <d v="2024-11-25T00:00:00"/>
    <s v="Mark Roy"/>
    <x v="3"/>
    <s v="San Francisco"/>
    <x v="46"/>
    <n v="39.468787007274578"/>
  </r>
  <r>
    <s v="B-26572"/>
    <n v="1818"/>
    <n v="738"/>
    <n v="11"/>
    <x v="1"/>
    <s v="Markers"/>
    <x v="2"/>
    <d v="2022-08-20T00:00:00"/>
    <s v="Austin Davis"/>
    <x v="3"/>
    <s v="San Diego"/>
    <x v="40"/>
    <n v="40.594059405940598"/>
  </r>
  <r>
    <s v="B-26572"/>
    <n v="1818"/>
    <n v="738"/>
    <n v="11"/>
    <x v="1"/>
    <s v="Markers"/>
    <x v="2"/>
    <d v="2024-11-25T00:00:00"/>
    <s v="Mark Roy"/>
    <x v="3"/>
    <s v="San Francisco"/>
    <x v="46"/>
    <n v="40.594059405940598"/>
  </r>
  <r>
    <s v="B-25919"/>
    <n v="2140"/>
    <n v="970"/>
    <n v="4"/>
    <x v="1"/>
    <s v="Paper"/>
    <x v="3"/>
    <d v="2020-09-30T00:00:00"/>
    <s v="Jillian Williams"/>
    <x v="3"/>
    <s v="San Diego"/>
    <x v="57"/>
    <n v="45.32710280373832"/>
  </r>
  <r>
    <s v="B-25919"/>
    <n v="2140"/>
    <n v="970"/>
    <n v="4"/>
    <x v="1"/>
    <s v="Paper"/>
    <x v="3"/>
    <d v="2025-02-20T00:00:00"/>
    <s v="Rebekah Carter"/>
    <x v="0"/>
    <s v="Orlando"/>
    <x v="9"/>
    <n v="45.32710280373832"/>
  </r>
  <r>
    <s v="B-25919"/>
    <n v="2140"/>
    <n v="970"/>
    <n v="4"/>
    <x v="1"/>
    <s v="Paper"/>
    <x v="3"/>
    <d v="2022-03-20T00:00:00"/>
    <s v="Jonathan Reed"/>
    <x v="3"/>
    <s v="San Francisco"/>
    <x v="25"/>
    <n v="45.32710280373832"/>
  </r>
  <r>
    <s v="B-25919"/>
    <n v="2670"/>
    <n v="1026"/>
    <n v="1"/>
    <x v="0"/>
    <s v="Laptops"/>
    <x v="1"/>
    <d v="2020-09-30T00:00:00"/>
    <s v="Jillian Williams"/>
    <x v="3"/>
    <s v="San Diego"/>
    <x v="57"/>
    <n v="38.426966292134829"/>
  </r>
  <r>
    <s v="B-25919"/>
    <n v="2670"/>
    <n v="1026"/>
    <n v="1"/>
    <x v="0"/>
    <s v="Laptops"/>
    <x v="1"/>
    <d v="2025-02-20T00:00:00"/>
    <s v="Rebekah Carter"/>
    <x v="0"/>
    <s v="Orlando"/>
    <x v="9"/>
    <n v="38.426966292134829"/>
  </r>
  <r>
    <s v="B-25919"/>
    <n v="2670"/>
    <n v="1026"/>
    <n v="1"/>
    <x v="0"/>
    <s v="Laptops"/>
    <x v="1"/>
    <d v="2022-03-20T00:00:00"/>
    <s v="Jonathan Reed"/>
    <x v="3"/>
    <s v="San Francisco"/>
    <x v="25"/>
    <n v="38.426966292134829"/>
  </r>
  <r>
    <s v="B-26978"/>
    <n v="1108"/>
    <n v="167"/>
    <n v="18"/>
    <x v="0"/>
    <s v="Laptops"/>
    <x v="1"/>
    <d v="2025-03-07T00:00:00"/>
    <s v="Roger Harris"/>
    <x v="1"/>
    <s v="Springfield"/>
    <x v="30"/>
    <n v="15.072202166064983"/>
  </r>
  <r>
    <s v="B-26978"/>
    <n v="9776"/>
    <n v="3750"/>
    <n v="9"/>
    <x v="1"/>
    <s v="Binders"/>
    <x v="0"/>
    <d v="2025-03-07T00:00:00"/>
    <s v="Roger Harris"/>
    <x v="1"/>
    <s v="Springfield"/>
    <x v="30"/>
    <n v="38.359247135842885"/>
  </r>
  <r>
    <s v="B-26978"/>
    <n v="535"/>
    <n v="72"/>
    <n v="6"/>
    <x v="2"/>
    <s v="Bookcases"/>
    <x v="4"/>
    <d v="2025-03-07T00:00:00"/>
    <s v="Roger Harris"/>
    <x v="1"/>
    <s v="Springfield"/>
    <x v="30"/>
    <n v="13.457943925233645"/>
  </r>
  <r>
    <s v="B-26554"/>
    <n v="7564"/>
    <n v="3463"/>
    <n v="5"/>
    <x v="1"/>
    <s v="Paper"/>
    <x v="3"/>
    <d v="2024-06-16T00:00:00"/>
    <s v="Louis Jimenez"/>
    <x v="0"/>
    <s v="Tampa"/>
    <x v="47"/>
    <n v="45.782654680063459"/>
  </r>
  <r>
    <s v="B-26554"/>
    <n v="7564"/>
    <n v="3463"/>
    <n v="5"/>
    <x v="1"/>
    <s v="Paper"/>
    <x v="3"/>
    <d v="2020-11-21T00:00:00"/>
    <s v="Jessica Jones"/>
    <x v="1"/>
    <s v="Peoria"/>
    <x v="11"/>
    <n v="45.782654680063459"/>
  </r>
  <r>
    <s v="B-26554"/>
    <n v="7564"/>
    <n v="3463"/>
    <n v="5"/>
    <x v="1"/>
    <s v="Paper"/>
    <x v="3"/>
    <d v="2024-10-01T00:00:00"/>
    <s v="Renee Gomez"/>
    <x v="0"/>
    <s v="Miami"/>
    <x v="56"/>
    <n v="45.782654680063459"/>
  </r>
  <r>
    <s v="B-26554"/>
    <n v="7564"/>
    <n v="3463"/>
    <n v="5"/>
    <x v="1"/>
    <s v="Paper"/>
    <x v="3"/>
    <d v="2024-07-01T00:00:00"/>
    <s v="Connie Olson"/>
    <x v="4"/>
    <s v="Houston"/>
    <x v="41"/>
    <n v="45.782654680063459"/>
  </r>
  <r>
    <s v="B-26554"/>
    <n v="3409"/>
    <n v="1605"/>
    <n v="20"/>
    <x v="0"/>
    <s v="Electronic Games"/>
    <x v="0"/>
    <d v="2024-06-16T00:00:00"/>
    <s v="Louis Jimenez"/>
    <x v="0"/>
    <s v="Tampa"/>
    <x v="47"/>
    <n v="47.081255500146668"/>
  </r>
  <r>
    <s v="B-26554"/>
    <n v="3409"/>
    <n v="1605"/>
    <n v="20"/>
    <x v="0"/>
    <s v="Electronic Games"/>
    <x v="0"/>
    <d v="2020-11-21T00:00:00"/>
    <s v="Jessica Jones"/>
    <x v="1"/>
    <s v="Peoria"/>
    <x v="11"/>
    <n v="47.081255500146668"/>
  </r>
  <r>
    <s v="B-26554"/>
    <n v="3409"/>
    <n v="1605"/>
    <n v="20"/>
    <x v="0"/>
    <s v="Electronic Games"/>
    <x v="0"/>
    <d v="2024-10-01T00:00:00"/>
    <s v="Renee Gomez"/>
    <x v="0"/>
    <s v="Miami"/>
    <x v="56"/>
    <n v="47.081255500146668"/>
  </r>
  <r>
    <s v="B-26554"/>
    <n v="3409"/>
    <n v="1605"/>
    <n v="20"/>
    <x v="0"/>
    <s v="Electronic Games"/>
    <x v="0"/>
    <d v="2024-07-01T00:00:00"/>
    <s v="Connie Olson"/>
    <x v="4"/>
    <s v="Houston"/>
    <x v="41"/>
    <n v="47.081255500146668"/>
  </r>
  <r>
    <s v="B-26883"/>
    <n v="9751"/>
    <n v="2459"/>
    <n v="13"/>
    <x v="1"/>
    <s v="Pens"/>
    <x v="4"/>
    <d v="2020-11-23T00:00:00"/>
    <s v="Christian Jones"/>
    <x v="2"/>
    <s v="Buffalo"/>
    <x v="11"/>
    <n v="25.217926366526513"/>
  </r>
  <r>
    <s v="B-25423"/>
    <n v="6385"/>
    <n v="2656"/>
    <n v="11"/>
    <x v="0"/>
    <s v="Printers"/>
    <x v="3"/>
    <d v="2023-03-18T00:00:00"/>
    <s v="Matthew Kelley"/>
    <x v="0"/>
    <s v="Orlando"/>
    <x v="45"/>
    <n v="41.597494126859829"/>
  </r>
  <r>
    <s v="B-25423"/>
    <n v="6385"/>
    <n v="2656"/>
    <n v="11"/>
    <x v="0"/>
    <s v="Printers"/>
    <x v="3"/>
    <d v="2022-10-19T00:00:00"/>
    <s v="Candace Martinez"/>
    <x v="0"/>
    <s v="Tampa"/>
    <x v="15"/>
    <n v="41.597494126859829"/>
  </r>
  <r>
    <s v="B-26324"/>
    <n v="6355"/>
    <n v="1335"/>
    <n v="15"/>
    <x v="0"/>
    <s v="Electronic Games"/>
    <x v="1"/>
    <d v="2023-08-31T00:00:00"/>
    <s v="Jacob Mann"/>
    <x v="4"/>
    <s v="Austin"/>
    <x v="21"/>
    <n v="21.007081038552322"/>
  </r>
  <r>
    <s v="B-26324"/>
    <n v="6355"/>
    <n v="1335"/>
    <n v="15"/>
    <x v="0"/>
    <s v="Electronic Games"/>
    <x v="1"/>
    <d v="2021-06-06T00:00:00"/>
    <s v="Keith Reese"/>
    <x v="4"/>
    <s v="Austin"/>
    <x v="22"/>
    <n v="21.007081038552322"/>
  </r>
  <r>
    <s v="B-26945"/>
    <n v="7377"/>
    <n v="320"/>
    <n v="15"/>
    <x v="0"/>
    <s v="Printers"/>
    <x v="1"/>
    <d v="2022-12-21T00:00:00"/>
    <s v="Aaron Jones"/>
    <x v="4"/>
    <s v="Austin"/>
    <x v="29"/>
    <n v="4.3378066964890873"/>
  </r>
  <r>
    <s v="B-26945"/>
    <n v="2054"/>
    <n v="371"/>
    <n v="12"/>
    <x v="1"/>
    <s v="Markers"/>
    <x v="2"/>
    <d v="2022-12-21T00:00:00"/>
    <s v="Aaron Jones"/>
    <x v="4"/>
    <s v="Austin"/>
    <x v="29"/>
    <n v="18.062317429406036"/>
  </r>
  <r>
    <s v="B-26405"/>
    <n v="7497"/>
    <n v="319"/>
    <n v="18"/>
    <x v="2"/>
    <s v="Chairs"/>
    <x v="4"/>
    <d v="2024-02-12T00:00:00"/>
    <s v="Christopher Brooks"/>
    <x v="1"/>
    <s v="Peoria"/>
    <x v="42"/>
    <n v="4.2550353474723224"/>
  </r>
  <r>
    <s v="B-26046"/>
    <n v="2565"/>
    <n v="983"/>
    <n v="20"/>
    <x v="0"/>
    <s v="Electronic Games"/>
    <x v="1"/>
    <d v="2022-12-05T00:00:00"/>
    <s v="Charles Moore"/>
    <x v="0"/>
    <s v="Miami"/>
    <x v="29"/>
    <n v="38.323586744639378"/>
  </r>
  <r>
    <s v="B-26046"/>
    <n v="5024"/>
    <n v="1544"/>
    <n v="19"/>
    <x v="1"/>
    <s v="Pens"/>
    <x v="4"/>
    <d v="2022-12-05T00:00:00"/>
    <s v="Charles Moore"/>
    <x v="0"/>
    <s v="Miami"/>
    <x v="29"/>
    <n v="30.732484076433121"/>
  </r>
  <r>
    <s v="B-25746"/>
    <n v="8243"/>
    <n v="1346"/>
    <n v="15"/>
    <x v="1"/>
    <s v="Binders"/>
    <x v="1"/>
    <d v="2021-04-04T00:00:00"/>
    <s v="Manuel Walls"/>
    <x v="4"/>
    <s v="Houston"/>
    <x v="27"/>
    <n v="16.329006429697927"/>
  </r>
  <r>
    <s v="B-25232"/>
    <n v="7792"/>
    <n v="1403"/>
    <n v="13"/>
    <x v="1"/>
    <s v="Paper"/>
    <x v="0"/>
    <d v="2021-02-12T00:00:00"/>
    <s v="Darren Moore"/>
    <x v="1"/>
    <s v="Peoria"/>
    <x v="51"/>
    <n v="18.005646817248461"/>
  </r>
  <r>
    <s v="B-25232"/>
    <n v="7792"/>
    <n v="1403"/>
    <n v="13"/>
    <x v="1"/>
    <s v="Paper"/>
    <x v="0"/>
    <d v="2022-12-27T00:00:00"/>
    <s v="Stephanie Thomas"/>
    <x v="2"/>
    <s v="Rochester"/>
    <x v="29"/>
    <n v="18.005646817248461"/>
  </r>
  <r>
    <s v="B-25232"/>
    <n v="7792"/>
    <n v="1403"/>
    <n v="13"/>
    <x v="1"/>
    <s v="Paper"/>
    <x v="0"/>
    <d v="2024-01-19T00:00:00"/>
    <s v="Kristy Hernandez"/>
    <x v="3"/>
    <s v="San Diego"/>
    <x v="10"/>
    <n v="18.005646817248461"/>
  </r>
  <r>
    <s v="B-25232"/>
    <n v="2346"/>
    <n v="388"/>
    <n v="14"/>
    <x v="2"/>
    <s v="Chairs"/>
    <x v="1"/>
    <d v="2021-02-12T00:00:00"/>
    <s v="Darren Moore"/>
    <x v="1"/>
    <s v="Peoria"/>
    <x v="51"/>
    <n v="16.538789428815004"/>
  </r>
  <r>
    <s v="B-25232"/>
    <n v="2346"/>
    <n v="388"/>
    <n v="14"/>
    <x v="2"/>
    <s v="Chairs"/>
    <x v="1"/>
    <d v="2022-12-27T00:00:00"/>
    <s v="Stephanie Thomas"/>
    <x v="2"/>
    <s v="Rochester"/>
    <x v="29"/>
    <n v="16.538789428815004"/>
  </r>
  <r>
    <s v="B-25232"/>
    <n v="2346"/>
    <n v="388"/>
    <n v="14"/>
    <x v="2"/>
    <s v="Chairs"/>
    <x v="1"/>
    <d v="2024-01-19T00:00:00"/>
    <s v="Kristy Hernandez"/>
    <x v="3"/>
    <s v="San Diego"/>
    <x v="10"/>
    <n v="16.538789428815004"/>
  </r>
  <r>
    <s v="B-25591"/>
    <n v="7346"/>
    <n v="1043"/>
    <n v="10"/>
    <x v="2"/>
    <s v="Sofas"/>
    <x v="3"/>
    <d v="2022-12-25T00:00:00"/>
    <s v="Randy Johnson"/>
    <x v="5"/>
    <s v="Columbus"/>
    <x v="29"/>
    <n v="14.19820310372992"/>
  </r>
  <r>
    <s v="B-25591"/>
    <n v="9770"/>
    <n v="4132"/>
    <n v="7"/>
    <x v="0"/>
    <s v="Electronic Games"/>
    <x v="0"/>
    <d v="2022-12-25T00:00:00"/>
    <s v="Randy Johnson"/>
    <x v="5"/>
    <s v="Columbus"/>
    <x v="29"/>
    <n v="42.292732855680654"/>
  </r>
  <r>
    <s v="B-25591"/>
    <n v="7179"/>
    <n v="683"/>
    <n v="13"/>
    <x v="0"/>
    <s v="Laptops"/>
    <x v="3"/>
    <d v="2022-12-25T00:00:00"/>
    <s v="Randy Johnson"/>
    <x v="5"/>
    <s v="Columbus"/>
    <x v="29"/>
    <n v="9.5138598690625429"/>
  </r>
  <r>
    <s v="B-26325"/>
    <n v="5449"/>
    <n v="2389"/>
    <n v="2"/>
    <x v="0"/>
    <s v="Phones"/>
    <x v="0"/>
    <d v="2022-10-06T00:00:00"/>
    <s v="James Benitez"/>
    <x v="0"/>
    <s v="Miami"/>
    <x v="15"/>
    <n v="43.842906955404658"/>
  </r>
  <r>
    <s v="B-25251"/>
    <n v="2895"/>
    <n v="104"/>
    <n v="6"/>
    <x v="2"/>
    <s v="Chairs"/>
    <x v="4"/>
    <d v="2020-04-27T00:00:00"/>
    <s v="Donald York"/>
    <x v="2"/>
    <s v="Buffalo"/>
    <x v="32"/>
    <n v="3.5924006908462869"/>
  </r>
  <r>
    <s v="B-25251"/>
    <n v="2895"/>
    <n v="104"/>
    <n v="6"/>
    <x v="2"/>
    <s v="Chairs"/>
    <x v="4"/>
    <d v="2024-05-13T00:00:00"/>
    <s v="Tiffany Parker"/>
    <x v="4"/>
    <s v="Houston"/>
    <x v="3"/>
    <n v="3.5924006908462869"/>
  </r>
  <r>
    <s v="B-25251"/>
    <n v="697"/>
    <n v="116"/>
    <n v="1"/>
    <x v="2"/>
    <s v="Chairs"/>
    <x v="0"/>
    <d v="2020-04-27T00:00:00"/>
    <s v="Donald York"/>
    <x v="2"/>
    <s v="Buffalo"/>
    <x v="32"/>
    <n v="16.642754662840744"/>
  </r>
  <r>
    <s v="B-25251"/>
    <n v="697"/>
    <n v="116"/>
    <n v="1"/>
    <x v="2"/>
    <s v="Chairs"/>
    <x v="0"/>
    <d v="2024-05-13T00:00:00"/>
    <s v="Tiffany Parker"/>
    <x v="4"/>
    <s v="Houston"/>
    <x v="3"/>
    <n v="16.642754662840744"/>
  </r>
  <r>
    <s v="B-25464"/>
    <n v="6145"/>
    <n v="1414"/>
    <n v="4"/>
    <x v="2"/>
    <s v="Chairs"/>
    <x v="4"/>
    <d v="2020-10-23T00:00:00"/>
    <s v="Melissa Mcknight"/>
    <x v="3"/>
    <s v="Los Angeles"/>
    <x v="20"/>
    <n v="23.010577705451588"/>
  </r>
  <r>
    <s v="B-25464"/>
    <n v="2504"/>
    <n v="440"/>
    <n v="18"/>
    <x v="0"/>
    <s v="Printers"/>
    <x v="0"/>
    <d v="2020-10-23T00:00:00"/>
    <s v="Melissa Mcknight"/>
    <x v="3"/>
    <s v="Los Angeles"/>
    <x v="20"/>
    <n v="17.571884984025559"/>
  </r>
  <r>
    <s v="B-25464"/>
    <n v="3124"/>
    <n v="138"/>
    <n v="16"/>
    <x v="0"/>
    <s v="Phones"/>
    <x v="1"/>
    <d v="2020-10-23T00:00:00"/>
    <s v="Melissa Mcknight"/>
    <x v="3"/>
    <s v="Los Angeles"/>
    <x v="20"/>
    <n v="4.4174135723431496"/>
  </r>
  <r>
    <s v="B-26678"/>
    <n v="6934"/>
    <n v="1226"/>
    <n v="1"/>
    <x v="0"/>
    <s v="Electronic Games"/>
    <x v="1"/>
    <d v="2021-06-11T00:00:00"/>
    <s v="Mr. Jack Mercado"/>
    <x v="5"/>
    <s v="Cincinnati"/>
    <x v="22"/>
    <n v="17.680992212287279"/>
  </r>
  <r>
    <s v="B-26678"/>
    <n v="6934"/>
    <n v="1226"/>
    <n v="1"/>
    <x v="0"/>
    <s v="Electronic Games"/>
    <x v="1"/>
    <d v="2021-09-08T00:00:00"/>
    <s v="Christian Jones"/>
    <x v="2"/>
    <s v="Rochester"/>
    <x v="43"/>
    <n v="17.680992212287279"/>
  </r>
  <r>
    <s v="B-25962"/>
    <n v="4202"/>
    <n v="1171"/>
    <n v="3"/>
    <x v="1"/>
    <s v="Markers"/>
    <x v="4"/>
    <d v="2022-11-23T00:00:00"/>
    <s v="Rachel Fisher"/>
    <x v="1"/>
    <s v="Peoria"/>
    <x v="5"/>
    <n v="27.867682056163734"/>
  </r>
  <r>
    <s v="B-25962"/>
    <n v="4202"/>
    <n v="1171"/>
    <n v="3"/>
    <x v="1"/>
    <s v="Markers"/>
    <x v="4"/>
    <d v="2022-10-31T00:00:00"/>
    <s v="Donald Moore"/>
    <x v="2"/>
    <s v="Rochester"/>
    <x v="15"/>
    <n v="27.867682056163734"/>
  </r>
  <r>
    <s v="B-25962"/>
    <n v="4202"/>
    <n v="1171"/>
    <n v="3"/>
    <x v="1"/>
    <s v="Markers"/>
    <x v="4"/>
    <d v="2023-11-06T00:00:00"/>
    <s v="William Wu"/>
    <x v="0"/>
    <s v="Tampa"/>
    <x v="6"/>
    <n v="27.867682056163734"/>
  </r>
  <r>
    <s v="B-25962"/>
    <n v="4202"/>
    <n v="1171"/>
    <n v="3"/>
    <x v="1"/>
    <s v="Markers"/>
    <x v="4"/>
    <d v="2023-11-12T00:00:00"/>
    <s v="Jesus Zuniga"/>
    <x v="4"/>
    <s v="Houston"/>
    <x v="6"/>
    <n v="27.867682056163734"/>
  </r>
  <r>
    <s v="B-26586"/>
    <n v="2239"/>
    <n v="828"/>
    <n v="1"/>
    <x v="0"/>
    <s v="Printers"/>
    <x v="0"/>
    <d v="2023-06-26T00:00:00"/>
    <s v="Michael Gallegos"/>
    <x v="3"/>
    <s v="Los Angeles"/>
    <x v="0"/>
    <n v="36.980794997766857"/>
  </r>
  <r>
    <s v="B-26586"/>
    <n v="2239"/>
    <n v="828"/>
    <n v="1"/>
    <x v="0"/>
    <s v="Printers"/>
    <x v="0"/>
    <d v="2023-09-30T00:00:00"/>
    <s v="Robert Daniels"/>
    <x v="1"/>
    <s v="Chicago"/>
    <x v="48"/>
    <n v="36.980794997766857"/>
  </r>
  <r>
    <s v="B-26586"/>
    <n v="2450"/>
    <n v="1002"/>
    <n v="4"/>
    <x v="0"/>
    <s v="Phones"/>
    <x v="1"/>
    <d v="2023-06-26T00:00:00"/>
    <s v="Michael Gallegos"/>
    <x v="3"/>
    <s v="Los Angeles"/>
    <x v="0"/>
    <n v="40.897959183673471"/>
  </r>
  <r>
    <s v="B-26586"/>
    <n v="2450"/>
    <n v="1002"/>
    <n v="4"/>
    <x v="0"/>
    <s v="Phones"/>
    <x v="1"/>
    <d v="2023-09-30T00:00:00"/>
    <s v="Robert Daniels"/>
    <x v="1"/>
    <s v="Chicago"/>
    <x v="48"/>
    <n v="40.897959183673471"/>
  </r>
  <r>
    <s v="B-26841"/>
    <n v="9827"/>
    <n v="4208"/>
    <n v="13"/>
    <x v="2"/>
    <s v="Chairs"/>
    <x v="1"/>
    <d v="2020-09-12T00:00:00"/>
    <s v="Jill Jones"/>
    <x v="2"/>
    <s v="New York City"/>
    <x v="57"/>
    <n v="42.820799837183273"/>
  </r>
  <r>
    <s v="B-26841"/>
    <n v="8077"/>
    <n v="240"/>
    <n v="15"/>
    <x v="2"/>
    <s v="Sofas"/>
    <x v="3"/>
    <d v="2020-09-12T00:00:00"/>
    <s v="Jill Jones"/>
    <x v="2"/>
    <s v="New York City"/>
    <x v="57"/>
    <n v="2.9714002723783581"/>
  </r>
  <r>
    <s v="B-26284"/>
    <n v="5152"/>
    <n v="2045"/>
    <n v="14"/>
    <x v="0"/>
    <s v="Phones"/>
    <x v="0"/>
    <d v="2020-11-27T00:00:00"/>
    <s v="Elizabeth Miller"/>
    <x v="1"/>
    <s v="Springfield"/>
    <x v="11"/>
    <n v="39.693322981366457"/>
  </r>
  <r>
    <s v="B-26284"/>
    <n v="5152"/>
    <n v="2045"/>
    <n v="14"/>
    <x v="0"/>
    <s v="Phones"/>
    <x v="0"/>
    <d v="2022-08-25T00:00:00"/>
    <s v="Sabrina Clark"/>
    <x v="3"/>
    <s v="Los Angeles"/>
    <x v="40"/>
    <n v="39.693322981366457"/>
  </r>
  <r>
    <s v="B-26284"/>
    <n v="5152"/>
    <n v="2045"/>
    <n v="14"/>
    <x v="0"/>
    <s v="Phones"/>
    <x v="0"/>
    <d v="2023-08-23T00:00:00"/>
    <s v="Larry Casey"/>
    <x v="1"/>
    <s v="Chicago"/>
    <x v="21"/>
    <n v="39.693322981366457"/>
  </r>
  <r>
    <s v="B-26284"/>
    <n v="5152"/>
    <n v="2045"/>
    <n v="14"/>
    <x v="0"/>
    <s v="Phones"/>
    <x v="0"/>
    <d v="2023-10-11T00:00:00"/>
    <s v="Daniel Burns"/>
    <x v="2"/>
    <s v="Rochester"/>
    <x v="59"/>
    <n v="39.693322981366457"/>
  </r>
  <r>
    <s v="B-26478"/>
    <n v="2542"/>
    <n v="190"/>
    <n v="1"/>
    <x v="1"/>
    <s v="Markers"/>
    <x v="3"/>
    <d v="2022-04-21T00:00:00"/>
    <s v="James Tanner"/>
    <x v="4"/>
    <s v="Houston"/>
    <x v="39"/>
    <n v="7.4744295830055067"/>
  </r>
  <r>
    <s v="B-26679"/>
    <n v="8102"/>
    <n v="1800"/>
    <n v="5"/>
    <x v="1"/>
    <s v="Markers"/>
    <x v="0"/>
    <d v="2023-09-14T00:00:00"/>
    <s v="Leonard Gonzalez"/>
    <x v="3"/>
    <s v="San Francisco"/>
    <x v="48"/>
    <n v="22.216736608244876"/>
  </r>
  <r>
    <s v="B-26679"/>
    <n v="8102"/>
    <n v="1800"/>
    <n v="5"/>
    <x v="1"/>
    <s v="Markers"/>
    <x v="0"/>
    <d v="2020-04-29T00:00:00"/>
    <s v="Richard Lee"/>
    <x v="2"/>
    <s v="Buffalo"/>
    <x v="32"/>
    <n v="22.216736608244876"/>
  </r>
  <r>
    <s v="B-26679"/>
    <n v="8102"/>
    <n v="1800"/>
    <n v="5"/>
    <x v="1"/>
    <s v="Markers"/>
    <x v="0"/>
    <d v="2020-12-15T00:00:00"/>
    <s v="Matthew Schroeder"/>
    <x v="5"/>
    <s v="Cleveland"/>
    <x v="50"/>
    <n v="22.216736608244876"/>
  </r>
  <r>
    <s v="B-26679"/>
    <n v="3234"/>
    <n v="1274"/>
    <n v="10"/>
    <x v="2"/>
    <s v="Tables"/>
    <x v="2"/>
    <d v="2023-09-14T00:00:00"/>
    <s v="Leonard Gonzalez"/>
    <x v="3"/>
    <s v="San Francisco"/>
    <x v="48"/>
    <n v="39.393939393939391"/>
  </r>
  <r>
    <s v="B-26679"/>
    <n v="3234"/>
    <n v="1274"/>
    <n v="10"/>
    <x v="2"/>
    <s v="Tables"/>
    <x v="2"/>
    <d v="2020-04-29T00:00:00"/>
    <s v="Richard Lee"/>
    <x v="2"/>
    <s v="Buffalo"/>
    <x v="32"/>
    <n v="39.393939393939391"/>
  </r>
  <r>
    <s v="B-26679"/>
    <n v="3234"/>
    <n v="1274"/>
    <n v="10"/>
    <x v="2"/>
    <s v="Tables"/>
    <x v="2"/>
    <d v="2020-12-15T00:00:00"/>
    <s v="Matthew Schroeder"/>
    <x v="5"/>
    <s v="Cleveland"/>
    <x v="50"/>
    <n v="39.393939393939391"/>
  </r>
  <r>
    <s v="B-26397"/>
    <n v="6200"/>
    <n v="2321"/>
    <n v="18"/>
    <x v="2"/>
    <s v="Tables"/>
    <x v="3"/>
    <d v="2024-07-11T00:00:00"/>
    <s v="Marcus Flores"/>
    <x v="3"/>
    <s v="Los Angeles"/>
    <x v="41"/>
    <n v="37.435483870967737"/>
  </r>
  <r>
    <s v="B-26397"/>
    <n v="6200"/>
    <n v="2321"/>
    <n v="18"/>
    <x v="2"/>
    <s v="Tables"/>
    <x v="3"/>
    <d v="2024-09-21T00:00:00"/>
    <s v="Tonya Long"/>
    <x v="0"/>
    <s v="Miami"/>
    <x v="31"/>
    <n v="37.435483870967737"/>
  </r>
  <r>
    <s v="B-25957"/>
    <n v="4470"/>
    <n v="413"/>
    <n v="13"/>
    <x v="0"/>
    <s v="Laptops"/>
    <x v="0"/>
    <d v="2025-02-02T00:00:00"/>
    <s v="Michael Chambers"/>
    <x v="3"/>
    <s v="Los Angeles"/>
    <x v="9"/>
    <n v="9.2393736017897083"/>
  </r>
  <r>
    <s v="B-26916"/>
    <n v="916"/>
    <n v="362"/>
    <n v="7"/>
    <x v="1"/>
    <s v="Pens"/>
    <x v="0"/>
    <d v="2022-10-21T00:00:00"/>
    <s v="Kaylee Glover"/>
    <x v="1"/>
    <s v="Springfield"/>
    <x v="15"/>
    <n v="39.519650655021834"/>
  </r>
  <r>
    <s v="B-26916"/>
    <n v="916"/>
    <n v="362"/>
    <n v="7"/>
    <x v="1"/>
    <s v="Pens"/>
    <x v="0"/>
    <d v="2020-10-21T00:00:00"/>
    <s v="Pamela Patterson"/>
    <x v="3"/>
    <s v="San Francisco"/>
    <x v="20"/>
    <n v="39.519650655021834"/>
  </r>
  <r>
    <s v="B-26916"/>
    <n v="1165"/>
    <n v="302"/>
    <n v="20"/>
    <x v="2"/>
    <s v="Sofas"/>
    <x v="0"/>
    <d v="2022-10-21T00:00:00"/>
    <s v="Kaylee Glover"/>
    <x v="1"/>
    <s v="Springfield"/>
    <x v="15"/>
    <n v="25.92274678111588"/>
  </r>
  <r>
    <s v="B-26916"/>
    <n v="1165"/>
    <n v="302"/>
    <n v="20"/>
    <x v="2"/>
    <s v="Sofas"/>
    <x v="0"/>
    <d v="2020-10-21T00:00:00"/>
    <s v="Pamela Patterson"/>
    <x v="3"/>
    <s v="San Francisco"/>
    <x v="20"/>
    <n v="25.92274678111588"/>
  </r>
  <r>
    <s v="B-26916"/>
    <n v="7846"/>
    <n v="677"/>
    <n v="12"/>
    <x v="2"/>
    <s v="Chairs"/>
    <x v="0"/>
    <d v="2022-10-21T00:00:00"/>
    <s v="Kaylee Glover"/>
    <x v="1"/>
    <s v="Springfield"/>
    <x v="15"/>
    <n v="8.6286005607953111"/>
  </r>
  <r>
    <s v="B-26916"/>
    <n v="7846"/>
    <n v="677"/>
    <n v="12"/>
    <x v="2"/>
    <s v="Chairs"/>
    <x v="0"/>
    <d v="2020-10-21T00:00:00"/>
    <s v="Pamela Patterson"/>
    <x v="3"/>
    <s v="San Francisco"/>
    <x v="20"/>
    <n v="8.6286005607953111"/>
  </r>
  <r>
    <s v="B-25925"/>
    <n v="3022"/>
    <n v="384"/>
    <n v="1"/>
    <x v="1"/>
    <s v="Pens"/>
    <x v="3"/>
    <d v="2022-01-11T00:00:00"/>
    <s v="Ronald Mckinney"/>
    <x v="4"/>
    <s v="Austin"/>
    <x v="12"/>
    <n v="12.706816677696889"/>
  </r>
  <r>
    <s v="B-25925"/>
    <n v="3022"/>
    <n v="384"/>
    <n v="1"/>
    <x v="1"/>
    <s v="Pens"/>
    <x v="3"/>
    <d v="2021-02-17T00:00:00"/>
    <s v="James Hart"/>
    <x v="1"/>
    <s v="Chicago"/>
    <x v="51"/>
    <n v="12.706816677696889"/>
  </r>
  <r>
    <s v="B-25925"/>
    <n v="5266"/>
    <n v="1111"/>
    <n v="13"/>
    <x v="0"/>
    <s v="Electronic Games"/>
    <x v="1"/>
    <d v="2022-01-11T00:00:00"/>
    <s v="Ronald Mckinney"/>
    <x v="4"/>
    <s v="Austin"/>
    <x v="12"/>
    <n v="21.097607292062285"/>
  </r>
  <r>
    <s v="B-25925"/>
    <n v="5266"/>
    <n v="1111"/>
    <n v="13"/>
    <x v="0"/>
    <s v="Electronic Games"/>
    <x v="1"/>
    <d v="2021-02-17T00:00:00"/>
    <s v="James Hart"/>
    <x v="1"/>
    <s v="Chicago"/>
    <x v="51"/>
    <n v="21.097607292062285"/>
  </r>
  <r>
    <s v="B-25602"/>
    <n v="4853"/>
    <n v="1764"/>
    <n v="9"/>
    <x v="1"/>
    <s v="Pens"/>
    <x v="1"/>
    <d v="2021-11-06T00:00:00"/>
    <s v="Rhonda Harris"/>
    <x v="0"/>
    <s v="Orlando"/>
    <x v="35"/>
    <n v="36.348650319390067"/>
  </r>
  <r>
    <s v="B-25602"/>
    <n v="4853"/>
    <n v="1764"/>
    <n v="9"/>
    <x v="1"/>
    <s v="Pens"/>
    <x v="1"/>
    <d v="2022-08-30T00:00:00"/>
    <s v="Randy Fisher"/>
    <x v="4"/>
    <s v="Houston"/>
    <x v="40"/>
    <n v="36.348650319390067"/>
  </r>
  <r>
    <s v="B-26592"/>
    <n v="9832"/>
    <n v="1270"/>
    <n v="1"/>
    <x v="1"/>
    <s v="Pens"/>
    <x v="4"/>
    <d v="2022-10-07T00:00:00"/>
    <s v="James Hernandez"/>
    <x v="3"/>
    <s v="San Francisco"/>
    <x v="15"/>
    <n v="12.91700569568755"/>
  </r>
  <r>
    <s v="B-26592"/>
    <n v="796"/>
    <n v="153"/>
    <n v="15"/>
    <x v="1"/>
    <s v="Pens"/>
    <x v="3"/>
    <d v="2022-10-07T00:00:00"/>
    <s v="James Hernandez"/>
    <x v="3"/>
    <s v="San Francisco"/>
    <x v="15"/>
    <n v="19.221105527638191"/>
  </r>
  <r>
    <s v="B-26251"/>
    <n v="883"/>
    <n v="127"/>
    <n v="7"/>
    <x v="2"/>
    <s v="Chairs"/>
    <x v="4"/>
    <d v="2023-06-04T00:00:00"/>
    <s v="Brenda Murphy"/>
    <x v="3"/>
    <s v="San Francisco"/>
    <x v="0"/>
    <n v="14.382785956964891"/>
  </r>
  <r>
    <s v="B-26251"/>
    <n v="4539"/>
    <n v="1155"/>
    <n v="8"/>
    <x v="2"/>
    <s v="Bookcases"/>
    <x v="1"/>
    <d v="2023-06-04T00:00:00"/>
    <s v="Brenda Murphy"/>
    <x v="3"/>
    <s v="San Francisco"/>
    <x v="0"/>
    <n v="25.446133509583607"/>
  </r>
  <r>
    <s v="B-26251"/>
    <n v="9659"/>
    <n v="2226"/>
    <n v="16"/>
    <x v="1"/>
    <s v="Binders"/>
    <x v="1"/>
    <d v="2023-06-04T00:00:00"/>
    <s v="Brenda Murphy"/>
    <x v="3"/>
    <s v="San Francisco"/>
    <x v="0"/>
    <n v="23.045863961072573"/>
  </r>
  <r>
    <s v="B-25979"/>
    <n v="9562"/>
    <n v="325"/>
    <n v="2"/>
    <x v="0"/>
    <s v="Printers"/>
    <x v="1"/>
    <d v="2022-05-13T00:00:00"/>
    <s v="Andrew Kirby"/>
    <x v="3"/>
    <s v="San Diego"/>
    <x v="37"/>
    <n v="3.3988705291779961"/>
  </r>
  <r>
    <s v="B-25437"/>
    <n v="4688"/>
    <n v="1841"/>
    <n v="3"/>
    <x v="0"/>
    <s v="Laptops"/>
    <x v="3"/>
    <d v="2023-01-23T00:00:00"/>
    <s v="Justin Thomas"/>
    <x v="3"/>
    <s v="San Francisco"/>
    <x v="54"/>
    <n v="39.270477815699664"/>
  </r>
  <r>
    <s v="B-25437"/>
    <n v="4688"/>
    <n v="1841"/>
    <n v="3"/>
    <x v="0"/>
    <s v="Laptops"/>
    <x v="3"/>
    <d v="2021-07-25T00:00:00"/>
    <s v="Jillian Johnson MD"/>
    <x v="3"/>
    <s v="San Diego"/>
    <x v="2"/>
    <n v="39.270477815699664"/>
  </r>
  <r>
    <s v="B-26986"/>
    <n v="7900"/>
    <n v="482"/>
    <n v="4"/>
    <x v="0"/>
    <s v="Phones"/>
    <x v="4"/>
    <d v="2025-03-08T00:00:00"/>
    <s v="William Martin"/>
    <x v="5"/>
    <s v="Columbus"/>
    <x v="30"/>
    <n v="6.1012658227848098"/>
  </r>
  <r>
    <s v="B-25990"/>
    <n v="6967"/>
    <n v="3257"/>
    <n v="17"/>
    <x v="2"/>
    <s v="Bookcases"/>
    <x v="4"/>
    <d v="2022-12-25T00:00:00"/>
    <s v="Mark Dixon"/>
    <x v="5"/>
    <s v="Cincinnati"/>
    <x v="29"/>
    <n v="46.748959379933972"/>
  </r>
  <r>
    <s v="B-25990"/>
    <n v="1091"/>
    <n v="277"/>
    <n v="6"/>
    <x v="1"/>
    <s v="Paper"/>
    <x v="4"/>
    <d v="2022-12-25T00:00:00"/>
    <s v="Mark Dixon"/>
    <x v="5"/>
    <s v="Cincinnati"/>
    <x v="29"/>
    <n v="25.389550870760768"/>
  </r>
  <r>
    <s v="B-25990"/>
    <n v="6027"/>
    <n v="1530"/>
    <n v="2"/>
    <x v="1"/>
    <s v="Binders"/>
    <x v="3"/>
    <d v="2022-12-25T00:00:00"/>
    <s v="Mark Dixon"/>
    <x v="5"/>
    <s v="Cincinnati"/>
    <x v="29"/>
    <n v="25.385764061722249"/>
  </r>
  <r>
    <s v="B-25222"/>
    <n v="4852"/>
    <n v="218"/>
    <n v="2"/>
    <x v="2"/>
    <s v="Tables"/>
    <x v="2"/>
    <d v="2024-04-24T00:00:00"/>
    <s v="Alicia Allen"/>
    <x v="4"/>
    <s v="Dallas"/>
    <x v="44"/>
    <n v="4.4929925803792248"/>
  </r>
  <r>
    <s v="B-25222"/>
    <n v="4852"/>
    <n v="218"/>
    <n v="2"/>
    <x v="2"/>
    <s v="Tables"/>
    <x v="2"/>
    <d v="2021-12-24T00:00:00"/>
    <s v="Cynthia Meyer"/>
    <x v="0"/>
    <s v="Tampa"/>
    <x v="13"/>
    <n v="4.4929925803792248"/>
  </r>
  <r>
    <s v="B-25222"/>
    <n v="4852"/>
    <n v="218"/>
    <n v="2"/>
    <x v="2"/>
    <s v="Tables"/>
    <x v="2"/>
    <d v="2023-09-07T00:00:00"/>
    <s v="Brandon Norton"/>
    <x v="1"/>
    <s v="Springfield"/>
    <x v="48"/>
    <n v="4.4929925803792248"/>
  </r>
  <r>
    <s v="B-26402"/>
    <n v="4314"/>
    <n v="1453"/>
    <n v="6"/>
    <x v="2"/>
    <s v="Sofas"/>
    <x v="4"/>
    <d v="2021-08-10T00:00:00"/>
    <s v="Christina Scott"/>
    <x v="0"/>
    <s v="Tampa"/>
    <x v="36"/>
    <n v="33.681038479369498"/>
  </r>
  <r>
    <s v="B-26792"/>
    <n v="3288"/>
    <n v="1477"/>
    <n v="3"/>
    <x v="1"/>
    <s v="Pens"/>
    <x v="2"/>
    <d v="2024-05-26T00:00:00"/>
    <s v="Andrew Macias"/>
    <x v="4"/>
    <s v="Austin"/>
    <x v="3"/>
    <n v="44.920924574209245"/>
  </r>
  <r>
    <s v="B-26792"/>
    <n v="3288"/>
    <n v="1477"/>
    <n v="3"/>
    <x v="1"/>
    <s v="Pens"/>
    <x v="2"/>
    <d v="2022-02-19T00:00:00"/>
    <s v="Alejandro Williams"/>
    <x v="1"/>
    <s v="Springfield"/>
    <x v="26"/>
    <n v="44.920924574209245"/>
  </r>
  <r>
    <s v="B-25154"/>
    <n v="3977"/>
    <n v="813"/>
    <n v="5"/>
    <x v="1"/>
    <s v="Binders"/>
    <x v="3"/>
    <d v="2024-12-09T00:00:00"/>
    <s v="Mark Rodriguez"/>
    <x v="2"/>
    <s v="New York City"/>
    <x v="1"/>
    <n v="20.442544631631883"/>
  </r>
  <r>
    <s v="B-26114"/>
    <n v="6252"/>
    <n v="1377"/>
    <n v="2"/>
    <x v="0"/>
    <s v="Printers"/>
    <x v="2"/>
    <d v="2023-06-01T00:00:00"/>
    <s v="Sarah Montgomery"/>
    <x v="1"/>
    <s v="Chicago"/>
    <x v="0"/>
    <n v="22.024952015355087"/>
  </r>
  <r>
    <s v="B-26485"/>
    <n v="9084"/>
    <n v="3253"/>
    <n v="12"/>
    <x v="1"/>
    <s v="Pens"/>
    <x v="1"/>
    <d v="2023-11-05T00:00:00"/>
    <s v="Marisa Prince"/>
    <x v="2"/>
    <s v="Buffalo"/>
    <x v="6"/>
    <n v="35.810215763980622"/>
  </r>
  <r>
    <s v="B-26191"/>
    <n v="8994"/>
    <n v="1481"/>
    <n v="15"/>
    <x v="0"/>
    <s v="Phones"/>
    <x v="3"/>
    <d v="2020-06-21T00:00:00"/>
    <s v="James Bonilla"/>
    <x v="3"/>
    <s v="San Diego"/>
    <x v="53"/>
    <n v="16.466533244385147"/>
  </r>
  <r>
    <s v="B-26754"/>
    <n v="1089"/>
    <n v="176"/>
    <n v="16"/>
    <x v="1"/>
    <s v="Markers"/>
    <x v="2"/>
    <d v="2020-10-26T00:00:00"/>
    <s v="Robin Myers"/>
    <x v="4"/>
    <s v="Dallas"/>
    <x v="20"/>
    <n v="16.161616161616163"/>
  </r>
  <r>
    <s v="B-25953"/>
    <n v="6690"/>
    <n v="1001"/>
    <n v="19"/>
    <x v="1"/>
    <s v="Binders"/>
    <x v="0"/>
    <d v="2022-06-06T00:00:00"/>
    <s v="Nancy Sanchez"/>
    <x v="1"/>
    <s v="Springfield"/>
    <x v="33"/>
    <n v="14.962630792227205"/>
  </r>
  <r>
    <s v="B-25953"/>
    <n v="6690"/>
    <n v="1001"/>
    <n v="19"/>
    <x v="1"/>
    <s v="Binders"/>
    <x v="0"/>
    <d v="2021-11-13T00:00:00"/>
    <s v="Sydney Walls"/>
    <x v="1"/>
    <s v="Chicago"/>
    <x v="35"/>
    <n v="14.962630792227205"/>
  </r>
  <r>
    <s v="B-25953"/>
    <n v="4985"/>
    <n v="1920"/>
    <n v="10"/>
    <x v="2"/>
    <s v="Bookcases"/>
    <x v="3"/>
    <d v="2022-06-06T00:00:00"/>
    <s v="Nancy Sanchez"/>
    <x v="1"/>
    <s v="Springfield"/>
    <x v="33"/>
    <n v="38.515546639919755"/>
  </r>
  <r>
    <s v="B-25953"/>
    <n v="4985"/>
    <n v="1920"/>
    <n v="10"/>
    <x v="2"/>
    <s v="Bookcases"/>
    <x v="3"/>
    <d v="2021-11-13T00:00:00"/>
    <s v="Sydney Walls"/>
    <x v="1"/>
    <s v="Chicago"/>
    <x v="35"/>
    <n v="38.515546639919755"/>
  </r>
  <r>
    <s v="B-26516"/>
    <n v="8590"/>
    <n v="3565"/>
    <n v="15"/>
    <x v="0"/>
    <s v="Electronic Games"/>
    <x v="2"/>
    <d v="2021-11-11T00:00:00"/>
    <s v="Deborah Hoffman"/>
    <x v="0"/>
    <s v="Miami"/>
    <x v="35"/>
    <n v="41.501746216530847"/>
  </r>
  <r>
    <s v="B-26516"/>
    <n v="6973"/>
    <n v="3038"/>
    <n v="10"/>
    <x v="2"/>
    <s v="Tables"/>
    <x v="4"/>
    <d v="2021-11-11T00:00:00"/>
    <s v="Deborah Hoffman"/>
    <x v="0"/>
    <s v="Miami"/>
    <x v="35"/>
    <n v="43.568048185859745"/>
  </r>
  <r>
    <s v="B-26843"/>
    <n v="4591"/>
    <n v="1941"/>
    <n v="19"/>
    <x v="0"/>
    <s v="Printers"/>
    <x v="2"/>
    <d v="2021-07-31T00:00:00"/>
    <s v="Megan Williams"/>
    <x v="4"/>
    <s v="Dallas"/>
    <x v="2"/>
    <n v="42.278370725332174"/>
  </r>
  <r>
    <s v="B-26843"/>
    <n v="9612"/>
    <n v="2572"/>
    <n v="17"/>
    <x v="1"/>
    <s v="Pens"/>
    <x v="3"/>
    <d v="2021-07-31T00:00:00"/>
    <s v="Megan Williams"/>
    <x v="4"/>
    <s v="Dallas"/>
    <x v="2"/>
    <n v="26.758218893050355"/>
  </r>
  <r>
    <s v="B-26167"/>
    <n v="5343"/>
    <n v="655"/>
    <n v="1"/>
    <x v="2"/>
    <s v="Chairs"/>
    <x v="2"/>
    <d v="2024-04-13T00:00:00"/>
    <s v="Shane Clark"/>
    <x v="3"/>
    <s v="San Diego"/>
    <x v="44"/>
    <n v="12.25903050720569"/>
  </r>
  <r>
    <s v="B-26972"/>
    <n v="6956"/>
    <n v="318"/>
    <n v="20"/>
    <x v="1"/>
    <s v="Markers"/>
    <x v="1"/>
    <d v="2022-04-19T00:00:00"/>
    <s v="Steven Haynes"/>
    <x v="1"/>
    <s v="Springfield"/>
    <x v="39"/>
    <n v="4.5715928694652099"/>
  </r>
  <r>
    <s v="B-25673"/>
    <n v="5306"/>
    <n v="2405"/>
    <n v="17"/>
    <x v="2"/>
    <s v="Tables"/>
    <x v="2"/>
    <d v="2024-03-23T00:00:00"/>
    <s v="Kimberly Fuller"/>
    <x v="2"/>
    <s v="Buffalo"/>
    <x v="55"/>
    <n v="45.326045985676593"/>
  </r>
  <r>
    <s v="B-26587"/>
    <n v="8982"/>
    <n v="448"/>
    <n v="17"/>
    <x v="2"/>
    <s v="Sofas"/>
    <x v="0"/>
    <d v="2021-05-07T00:00:00"/>
    <s v="Angela Lyons"/>
    <x v="2"/>
    <s v="New York City"/>
    <x v="18"/>
    <n v="4.9877532843464714"/>
  </r>
  <r>
    <s v="B-26587"/>
    <n v="4826"/>
    <n v="562"/>
    <n v="5"/>
    <x v="1"/>
    <s v="Paper"/>
    <x v="1"/>
    <d v="2021-05-07T00:00:00"/>
    <s v="Angela Lyons"/>
    <x v="2"/>
    <s v="New York City"/>
    <x v="18"/>
    <n v="11.645254869457107"/>
  </r>
  <r>
    <s v="B-26668"/>
    <n v="972"/>
    <n v="106"/>
    <n v="15"/>
    <x v="1"/>
    <s v="Pens"/>
    <x v="2"/>
    <d v="2022-05-06T00:00:00"/>
    <s v="Betty Tucker"/>
    <x v="5"/>
    <s v="Cincinnati"/>
    <x v="37"/>
    <n v="10.905349794238683"/>
  </r>
  <r>
    <s v="B-26906"/>
    <n v="3665"/>
    <n v="802"/>
    <n v="4"/>
    <x v="1"/>
    <s v="Markers"/>
    <x v="3"/>
    <d v="2021-08-09T00:00:00"/>
    <s v="Brianna Hunt"/>
    <x v="0"/>
    <s v="Miami"/>
    <x v="36"/>
    <n v="21.882673942701228"/>
  </r>
  <r>
    <s v="B-26906"/>
    <n v="3665"/>
    <n v="802"/>
    <n v="4"/>
    <x v="1"/>
    <s v="Markers"/>
    <x v="3"/>
    <d v="2025-02-09T00:00:00"/>
    <s v="Cathy Clark"/>
    <x v="0"/>
    <s v="Tampa"/>
    <x v="9"/>
    <n v="21.882673942701228"/>
  </r>
  <r>
    <s v="B-25226"/>
    <n v="9808"/>
    <n v="2117"/>
    <n v="2"/>
    <x v="1"/>
    <s v="Pens"/>
    <x v="0"/>
    <d v="2024-04-23T00:00:00"/>
    <s v="Nicole Warren"/>
    <x v="3"/>
    <s v="Los Angeles"/>
    <x v="44"/>
    <n v="21.584420880913541"/>
  </r>
  <r>
    <s v="B-25166"/>
    <n v="1133"/>
    <n v="73"/>
    <n v="17"/>
    <x v="2"/>
    <s v="Chairs"/>
    <x v="0"/>
    <d v="2023-02-23T00:00:00"/>
    <s v="Richard Castaneda"/>
    <x v="5"/>
    <s v="Cleveland"/>
    <x v="14"/>
    <n v="6.4430714916151803"/>
  </r>
  <r>
    <s v="B-25166"/>
    <n v="1133"/>
    <n v="73"/>
    <n v="17"/>
    <x v="2"/>
    <s v="Chairs"/>
    <x v="0"/>
    <d v="2024-06-06T00:00:00"/>
    <s v="Sarah Torres"/>
    <x v="3"/>
    <s v="San Diego"/>
    <x v="47"/>
    <n v="6.4430714916151803"/>
  </r>
  <r>
    <s v="B-25166"/>
    <n v="6248"/>
    <n v="1168"/>
    <n v="19"/>
    <x v="2"/>
    <s v="Bookcases"/>
    <x v="4"/>
    <d v="2023-02-23T00:00:00"/>
    <s v="Richard Castaneda"/>
    <x v="5"/>
    <s v="Cleveland"/>
    <x v="14"/>
    <n v="18.693982074263765"/>
  </r>
  <r>
    <s v="B-25166"/>
    <n v="6248"/>
    <n v="1168"/>
    <n v="19"/>
    <x v="2"/>
    <s v="Bookcases"/>
    <x v="4"/>
    <d v="2024-06-06T00:00:00"/>
    <s v="Sarah Torres"/>
    <x v="3"/>
    <s v="San Diego"/>
    <x v="47"/>
    <n v="18.693982074263765"/>
  </r>
  <r>
    <s v="B-25454"/>
    <n v="5666"/>
    <n v="2733"/>
    <n v="17"/>
    <x v="0"/>
    <s v="Electronic Games"/>
    <x v="3"/>
    <d v="2025-01-27T00:00:00"/>
    <s v="Vanessa Deleon"/>
    <x v="0"/>
    <s v="Tampa"/>
    <x v="52"/>
    <n v="48.23508648076244"/>
  </r>
  <r>
    <s v="B-26215"/>
    <n v="4171"/>
    <n v="1450"/>
    <n v="18"/>
    <x v="1"/>
    <s v="Markers"/>
    <x v="4"/>
    <d v="2023-04-07T00:00:00"/>
    <s v="Richard Lyons"/>
    <x v="4"/>
    <s v="Dallas"/>
    <x v="28"/>
    <n v="34.763845600575401"/>
  </r>
  <r>
    <s v="B-25777"/>
    <n v="6236"/>
    <n v="2839"/>
    <n v="7"/>
    <x v="0"/>
    <s v="Printers"/>
    <x v="3"/>
    <d v="2022-01-20T00:00:00"/>
    <s v="Eric Adams"/>
    <x v="1"/>
    <s v="Springfield"/>
    <x v="12"/>
    <n v="45.52597819114817"/>
  </r>
  <r>
    <s v="B-25777"/>
    <n v="6236"/>
    <n v="2839"/>
    <n v="7"/>
    <x v="0"/>
    <s v="Printers"/>
    <x v="3"/>
    <d v="2022-05-10T00:00:00"/>
    <s v="Chad Brown"/>
    <x v="0"/>
    <s v="Orlando"/>
    <x v="37"/>
    <n v="45.52597819114817"/>
  </r>
  <r>
    <s v="B-25383"/>
    <n v="5410"/>
    <n v="2456"/>
    <n v="8"/>
    <x v="2"/>
    <s v="Chairs"/>
    <x v="3"/>
    <d v="2024-05-29T00:00:00"/>
    <s v="Kayla Becker"/>
    <x v="3"/>
    <s v="Los Angeles"/>
    <x v="3"/>
    <n v="45.397412199630317"/>
  </r>
  <r>
    <s v="B-25383"/>
    <n v="5410"/>
    <n v="2456"/>
    <n v="8"/>
    <x v="2"/>
    <s v="Chairs"/>
    <x v="3"/>
    <d v="2022-01-04T00:00:00"/>
    <s v="Ashley Freeman"/>
    <x v="0"/>
    <s v="Tampa"/>
    <x v="12"/>
    <n v="45.397412199630317"/>
  </r>
  <r>
    <s v="B-26409"/>
    <n v="3024"/>
    <n v="1353"/>
    <n v="1"/>
    <x v="2"/>
    <s v="Sofas"/>
    <x v="3"/>
    <d v="2024-05-02T00:00:00"/>
    <s v="Scott Harris"/>
    <x v="3"/>
    <s v="Los Angeles"/>
    <x v="3"/>
    <n v="44.742063492063494"/>
  </r>
  <r>
    <s v="B-26409"/>
    <n v="3024"/>
    <n v="1353"/>
    <n v="1"/>
    <x v="2"/>
    <s v="Sofas"/>
    <x v="3"/>
    <d v="2021-12-28T00:00:00"/>
    <s v="John James"/>
    <x v="5"/>
    <s v="Columbus"/>
    <x v="13"/>
    <n v="44.742063492063494"/>
  </r>
  <r>
    <s v="B-26684"/>
    <n v="7434"/>
    <n v="2851"/>
    <n v="5"/>
    <x v="1"/>
    <s v="Markers"/>
    <x v="0"/>
    <d v="2022-12-12T00:00:00"/>
    <s v="Jesse Bond"/>
    <x v="1"/>
    <s v="Springfield"/>
    <x v="29"/>
    <n v="38.350820554210387"/>
  </r>
  <r>
    <s v="B-26726"/>
    <n v="7213"/>
    <n v="508"/>
    <n v="19"/>
    <x v="0"/>
    <s v="Electronic Games"/>
    <x v="1"/>
    <d v="2023-08-17T00:00:00"/>
    <s v="Brandon Hughes"/>
    <x v="4"/>
    <s v="Dallas"/>
    <x v="21"/>
    <n v="7.0428393178982391"/>
  </r>
  <r>
    <s v="B-26726"/>
    <n v="7213"/>
    <n v="508"/>
    <n v="19"/>
    <x v="0"/>
    <s v="Electronic Games"/>
    <x v="1"/>
    <d v="2021-11-29T00:00:00"/>
    <s v="Lynn Reynolds"/>
    <x v="5"/>
    <s v="Cincinnati"/>
    <x v="35"/>
    <n v="7.0428393178982391"/>
  </r>
  <r>
    <s v="B-26726"/>
    <n v="3176"/>
    <n v="586"/>
    <n v="9"/>
    <x v="2"/>
    <s v="Tables"/>
    <x v="2"/>
    <d v="2023-08-17T00:00:00"/>
    <s v="Brandon Hughes"/>
    <x v="4"/>
    <s v="Dallas"/>
    <x v="21"/>
    <n v="18.450881612090679"/>
  </r>
  <r>
    <s v="B-26726"/>
    <n v="3176"/>
    <n v="586"/>
    <n v="9"/>
    <x v="2"/>
    <s v="Tables"/>
    <x v="2"/>
    <d v="2021-11-29T00:00:00"/>
    <s v="Lynn Reynolds"/>
    <x v="5"/>
    <s v="Cincinnati"/>
    <x v="35"/>
    <n v="18.450881612090679"/>
  </r>
  <r>
    <s v="B-26136"/>
    <n v="9144"/>
    <n v="2220"/>
    <n v="18"/>
    <x v="1"/>
    <s v="Binders"/>
    <x v="3"/>
    <d v="2021-06-13T00:00:00"/>
    <s v="Ronald Good"/>
    <x v="0"/>
    <s v="Miami"/>
    <x v="22"/>
    <n v="24.278215223097114"/>
  </r>
  <r>
    <s v="B-26098"/>
    <n v="4146"/>
    <n v="865"/>
    <n v="19"/>
    <x v="2"/>
    <s v="Tables"/>
    <x v="2"/>
    <d v="2022-07-04T00:00:00"/>
    <s v="Kyle Baker"/>
    <x v="4"/>
    <s v="Houston"/>
    <x v="58"/>
    <n v="20.863482875060299"/>
  </r>
  <r>
    <s v="B-26098"/>
    <n v="3793"/>
    <n v="875"/>
    <n v="7"/>
    <x v="2"/>
    <s v="Tables"/>
    <x v="2"/>
    <d v="2022-07-04T00:00:00"/>
    <s v="Kyle Baker"/>
    <x v="4"/>
    <s v="Houston"/>
    <x v="58"/>
    <n v="23.068810967571842"/>
  </r>
  <r>
    <s v="B-25430"/>
    <n v="7169"/>
    <n v="2385"/>
    <n v="11"/>
    <x v="2"/>
    <s v="Sofas"/>
    <x v="4"/>
    <d v="2021-06-27T00:00:00"/>
    <s v="Michael Rivera"/>
    <x v="3"/>
    <s v="Los Angeles"/>
    <x v="22"/>
    <n v="33.268238248012274"/>
  </r>
  <r>
    <s v="B-25430"/>
    <n v="4046"/>
    <n v="417"/>
    <n v="18"/>
    <x v="2"/>
    <s v="Chairs"/>
    <x v="3"/>
    <d v="2021-06-27T00:00:00"/>
    <s v="Michael Rivera"/>
    <x v="3"/>
    <s v="Los Angeles"/>
    <x v="22"/>
    <n v="10.306475531389028"/>
  </r>
  <r>
    <s v="B-25266"/>
    <n v="4164"/>
    <n v="905"/>
    <n v="11"/>
    <x v="0"/>
    <s v="Phones"/>
    <x v="4"/>
    <d v="2023-12-04T00:00:00"/>
    <s v="Lori Adkins"/>
    <x v="3"/>
    <s v="San Diego"/>
    <x v="16"/>
    <n v="21.733909702209413"/>
  </r>
  <r>
    <s v="B-25266"/>
    <n v="5389"/>
    <n v="2196"/>
    <n v="5"/>
    <x v="2"/>
    <s v="Tables"/>
    <x v="0"/>
    <d v="2023-12-04T00:00:00"/>
    <s v="Lori Adkins"/>
    <x v="3"/>
    <s v="San Diego"/>
    <x v="16"/>
    <n v="40.749675264427538"/>
  </r>
  <r>
    <s v="B-25283"/>
    <n v="5448"/>
    <n v="2204"/>
    <n v="5"/>
    <x v="2"/>
    <s v="Sofas"/>
    <x v="4"/>
    <d v="2022-08-09T00:00:00"/>
    <s v="Luis Warner"/>
    <x v="2"/>
    <s v="New York City"/>
    <x v="40"/>
    <n v="40.455212922173274"/>
  </r>
  <r>
    <s v="B-25227"/>
    <n v="4115"/>
    <n v="1285"/>
    <n v="1"/>
    <x v="2"/>
    <s v="Sofas"/>
    <x v="0"/>
    <d v="2020-04-08T00:00:00"/>
    <s v="Donald Perry"/>
    <x v="0"/>
    <s v="Orlando"/>
    <x v="32"/>
    <n v="31.227217496962332"/>
  </r>
  <r>
    <s v="B-25227"/>
    <n v="4761"/>
    <n v="2231"/>
    <n v="12"/>
    <x v="2"/>
    <s v="Tables"/>
    <x v="0"/>
    <d v="2020-04-08T00:00:00"/>
    <s v="Donald Perry"/>
    <x v="0"/>
    <s v="Orlando"/>
    <x v="32"/>
    <n v="46.859903381642518"/>
  </r>
  <r>
    <s v="B-25669"/>
    <n v="5899"/>
    <n v="2264"/>
    <n v="6"/>
    <x v="1"/>
    <s v="Binders"/>
    <x v="2"/>
    <d v="2023-10-20T00:00:00"/>
    <s v="Adam Stevens"/>
    <x v="2"/>
    <s v="Buffalo"/>
    <x v="59"/>
    <n v="38.379386336667231"/>
  </r>
  <r>
    <s v="B-25064"/>
    <n v="6109"/>
    <n v="3040"/>
    <n v="9"/>
    <x v="2"/>
    <s v="Chairs"/>
    <x v="2"/>
    <d v="2022-02-10T00:00:00"/>
    <s v="Kimberly Johnson"/>
    <x v="2"/>
    <s v="Buffalo"/>
    <x v="26"/>
    <n v="49.762645277459491"/>
  </r>
  <r>
    <s v="B-25064"/>
    <n v="6109"/>
    <n v="3040"/>
    <n v="9"/>
    <x v="2"/>
    <s v="Chairs"/>
    <x v="2"/>
    <d v="2023-10-05T00:00:00"/>
    <s v="Kelly Jones"/>
    <x v="2"/>
    <s v="Rochester"/>
    <x v="59"/>
    <n v="49.762645277459491"/>
  </r>
  <r>
    <s v="B-25064"/>
    <n v="4628"/>
    <n v="1491"/>
    <n v="17"/>
    <x v="0"/>
    <s v="Electronic Games"/>
    <x v="0"/>
    <d v="2022-02-10T00:00:00"/>
    <s v="Kimberly Johnson"/>
    <x v="2"/>
    <s v="Buffalo"/>
    <x v="26"/>
    <n v="32.21694036300778"/>
  </r>
  <r>
    <s v="B-25064"/>
    <n v="4628"/>
    <n v="1491"/>
    <n v="17"/>
    <x v="0"/>
    <s v="Electronic Games"/>
    <x v="0"/>
    <d v="2023-10-05T00:00:00"/>
    <s v="Kelly Jones"/>
    <x v="2"/>
    <s v="Rochester"/>
    <x v="59"/>
    <n v="32.21694036300778"/>
  </r>
  <r>
    <s v="B-26268"/>
    <n v="4369"/>
    <n v="584"/>
    <n v="13"/>
    <x v="1"/>
    <s v="Pens"/>
    <x v="3"/>
    <d v="2022-09-22T00:00:00"/>
    <s v="Ashley Petty"/>
    <x v="1"/>
    <s v="Peoria"/>
    <x v="24"/>
    <n v="13.366903181506066"/>
  </r>
  <r>
    <s v="B-26268"/>
    <n v="4369"/>
    <n v="584"/>
    <n v="13"/>
    <x v="1"/>
    <s v="Pens"/>
    <x v="3"/>
    <d v="2021-04-03T00:00:00"/>
    <s v="Crystal Ross"/>
    <x v="4"/>
    <s v="Austin"/>
    <x v="27"/>
    <n v="13.366903181506066"/>
  </r>
  <r>
    <s v="B-25456"/>
    <n v="5632"/>
    <n v="2358"/>
    <n v="20"/>
    <x v="2"/>
    <s v="Sofas"/>
    <x v="3"/>
    <d v="2021-05-03T00:00:00"/>
    <s v="Alexis Duffy"/>
    <x v="3"/>
    <s v="Los Angeles"/>
    <x v="18"/>
    <n v="41.867897727272727"/>
  </r>
  <r>
    <s v="B-25456"/>
    <n v="5632"/>
    <n v="2358"/>
    <n v="20"/>
    <x v="2"/>
    <s v="Sofas"/>
    <x v="3"/>
    <d v="2024-02-11T00:00:00"/>
    <s v="Stephanie Sanchez"/>
    <x v="0"/>
    <s v="Miami"/>
    <x v="42"/>
    <n v="41.867897727272727"/>
  </r>
  <r>
    <s v="B-25456"/>
    <n v="5632"/>
    <n v="2358"/>
    <n v="20"/>
    <x v="2"/>
    <s v="Sofas"/>
    <x v="3"/>
    <d v="2025-02-04T00:00:00"/>
    <s v="Reginald Espinoza"/>
    <x v="5"/>
    <s v="Cleveland"/>
    <x v="9"/>
    <n v="41.867897727272727"/>
  </r>
  <r>
    <s v="B-25495"/>
    <n v="7519"/>
    <n v="402"/>
    <n v="14"/>
    <x v="1"/>
    <s v="Paper"/>
    <x v="0"/>
    <d v="2022-10-12T00:00:00"/>
    <s v="Sandra Hicks"/>
    <x v="3"/>
    <s v="San Diego"/>
    <x v="15"/>
    <n v="5.3464556456975663"/>
  </r>
  <r>
    <s v="B-25495"/>
    <n v="1564"/>
    <n v="674"/>
    <n v="13"/>
    <x v="0"/>
    <s v="Electronic Games"/>
    <x v="1"/>
    <d v="2022-10-12T00:00:00"/>
    <s v="Sandra Hicks"/>
    <x v="3"/>
    <s v="San Diego"/>
    <x v="15"/>
    <n v="43.094629156010228"/>
  </r>
  <r>
    <s v="B-26552"/>
    <n v="2804"/>
    <n v="936"/>
    <n v="10"/>
    <x v="0"/>
    <s v="Electronic Games"/>
    <x v="3"/>
    <d v="2022-02-06T00:00:00"/>
    <s v="Olivia Orozco"/>
    <x v="4"/>
    <s v="Austin"/>
    <x v="26"/>
    <n v="33.380884450784592"/>
  </r>
  <r>
    <s v="B-26552"/>
    <n v="2804"/>
    <n v="936"/>
    <n v="10"/>
    <x v="0"/>
    <s v="Electronic Games"/>
    <x v="3"/>
    <d v="2020-11-09T00:00:00"/>
    <s v="Larry Moore"/>
    <x v="0"/>
    <s v="Tampa"/>
    <x v="11"/>
    <n v="33.380884450784592"/>
  </r>
  <r>
    <s v="B-26552"/>
    <n v="2804"/>
    <n v="936"/>
    <n v="10"/>
    <x v="0"/>
    <s v="Electronic Games"/>
    <x v="3"/>
    <d v="2023-05-03T00:00:00"/>
    <s v="Mrs. Rachel Cannon DDS"/>
    <x v="0"/>
    <s v="Tampa"/>
    <x v="23"/>
    <n v="33.380884450784592"/>
  </r>
  <r>
    <s v="B-25203"/>
    <n v="2321"/>
    <n v="505"/>
    <n v="6"/>
    <x v="2"/>
    <s v="Chairs"/>
    <x v="2"/>
    <d v="2022-10-04T00:00:00"/>
    <s v="Daniel Flowers"/>
    <x v="1"/>
    <s v="Springfield"/>
    <x v="15"/>
    <n v="21.75786299009048"/>
  </r>
  <r>
    <s v="B-25462"/>
    <n v="5730"/>
    <n v="482"/>
    <n v="6"/>
    <x v="0"/>
    <s v="Laptops"/>
    <x v="4"/>
    <d v="2024-08-21T00:00:00"/>
    <s v="Randy Acosta"/>
    <x v="0"/>
    <s v="Tampa"/>
    <x v="19"/>
    <n v="8.4118673647469464"/>
  </r>
  <r>
    <s v="B-26145"/>
    <n v="7441"/>
    <n v="867"/>
    <n v="12"/>
    <x v="2"/>
    <s v="Sofas"/>
    <x v="4"/>
    <d v="2021-11-20T00:00:00"/>
    <s v="Deborah Williams"/>
    <x v="1"/>
    <s v="Chicago"/>
    <x v="35"/>
    <n v="11.65165972315549"/>
  </r>
  <r>
    <s v="B-26145"/>
    <n v="7441"/>
    <n v="867"/>
    <n v="12"/>
    <x v="2"/>
    <s v="Sofas"/>
    <x v="4"/>
    <d v="2020-05-13T00:00:00"/>
    <s v="Robert Michael"/>
    <x v="4"/>
    <s v="Austin"/>
    <x v="8"/>
    <n v="11.65165972315549"/>
  </r>
  <r>
    <s v="B-25552"/>
    <n v="1732"/>
    <n v="766"/>
    <n v="7"/>
    <x v="1"/>
    <s v="Binders"/>
    <x v="0"/>
    <d v="2023-02-28T00:00:00"/>
    <s v="Danny Ramirez"/>
    <x v="2"/>
    <s v="New York City"/>
    <x v="14"/>
    <n v="44.226327944572745"/>
  </r>
  <r>
    <s v="B-25552"/>
    <n v="8788"/>
    <n v="3944"/>
    <n v="19"/>
    <x v="1"/>
    <s v="Paper"/>
    <x v="2"/>
    <d v="2023-02-28T00:00:00"/>
    <s v="Danny Ramirez"/>
    <x v="2"/>
    <s v="New York City"/>
    <x v="14"/>
    <n v="44.879380974055536"/>
  </r>
  <r>
    <s v="B-26069"/>
    <n v="838"/>
    <n v="271"/>
    <n v="11"/>
    <x v="1"/>
    <s v="Markers"/>
    <x v="2"/>
    <d v="2021-01-21T00:00:00"/>
    <s v="Stephen Baker"/>
    <x v="5"/>
    <s v="Columbus"/>
    <x v="49"/>
    <n v="32.338902147971361"/>
  </r>
  <r>
    <s v="B-26069"/>
    <n v="838"/>
    <n v="271"/>
    <n v="11"/>
    <x v="1"/>
    <s v="Markers"/>
    <x v="2"/>
    <d v="2022-02-28T00:00:00"/>
    <s v="Jeffrey Wilcox"/>
    <x v="1"/>
    <s v="Peoria"/>
    <x v="26"/>
    <n v="32.338902147971361"/>
  </r>
  <r>
    <s v="B-26069"/>
    <n v="3577"/>
    <n v="699"/>
    <n v="2"/>
    <x v="2"/>
    <s v="Tables"/>
    <x v="0"/>
    <d v="2021-01-21T00:00:00"/>
    <s v="Stephen Baker"/>
    <x v="5"/>
    <s v="Columbus"/>
    <x v="49"/>
    <n v="19.541515236231479"/>
  </r>
  <r>
    <s v="B-26069"/>
    <n v="3577"/>
    <n v="699"/>
    <n v="2"/>
    <x v="2"/>
    <s v="Tables"/>
    <x v="0"/>
    <d v="2022-02-28T00:00:00"/>
    <s v="Jeffrey Wilcox"/>
    <x v="1"/>
    <s v="Peoria"/>
    <x v="26"/>
    <n v="19.541515236231479"/>
  </r>
  <r>
    <s v="B-25120"/>
    <n v="7122"/>
    <n v="1836"/>
    <n v="6"/>
    <x v="0"/>
    <s v="Phones"/>
    <x v="1"/>
    <d v="2024-04-25T00:00:00"/>
    <s v="James Clarke"/>
    <x v="4"/>
    <s v="Dallas"/>
    <x v="44"/>
    <n v="25.779275484414487"/>
  </r>
  <r>
    <s v="B-25120"/>
    <n v="7122"/>
    <n v="1836"/>
    <n v="6"/>
    <x v="0"/>
    <s v="Phones"/>
    <x v="1"/>
    <d v="2023-03-10T00:00:00"/>
    <s v="Julia Gallagher"/>
    <x v="4"/>
    <s v="Houston"/>
    <x v="45"/>
    <n v="25.779275484414487"/>
  </r>
  <r>
    <s v="B-25120"/>
    <n v="7122"/>
    <n v="1836"/>
    <n v="6"/>
    <x v="0"/>
    <s v="Phones"/>
    <x v="1"/>
    <d v="2023-07-10T00:00:00"/>
    <s v="Ronald Frey Jr."/>
    <x v="2"/>
    <s v="New York City"/>
    <x v="17"/>
    <n v="25.779275484414487"/>
  </r>
  <r>
    <s v="B-25120"/>
    <n v="7327"/>
    <n v="2596"/>
    <n v="15"/>
    <x v="1"/>
    <s v="Markers"/>
    <x v="3"/>
    <d v="2024-04-25T00:00:00"/>
    <s v="James Clarke"/>
    <x v="4"/>
    <s v="Dallas"/>
    <x v="44"/>
    <n v="35.430599153814654"/>
  </r>
  <r>
    <s v="B-25120"/>
    <n v="7327"/>
    <n v="2596"/>
    <n v="15"/>
    <x v="1"/>
    <s v="Markers"/>
    <x v="3"/>
    <d v="2023-03-10T00:00:00"/>
    <s v="Julia Gallagher"/>
    <x v="4"/>
    <s v="Houston"/>
    <x v="45"/>
    <n v="35.430599153814654"/>
  </r>
  <r>
    <s v="B-25120"/>
    <n v="7327"/>
    <n v="2596"/>
    <n v="15"/>
    <x v="1"/>
    <s v="Markers"/>
    <x v="3"/>
    <d v="2023-07-10T00:00:00"/>
    <s v="Ronald Frey Jr."/>
    <x v="2"/>
    <s v="New York City"/>
    <x v="17"/>
    <n v="35.430599153814654"/>
  </r>
  <r>
    <s v="B-26146"/>
    <n v="2239"/>
    <n v="1094"/>
    <n v="18"/>
    <x v="0"/>
    <s v="Printers"/>
    <x v="4"/>
    <d v="2024-07-28T00:00:00"/>
    <s v="Megan Charles"/>
    <x v="0"/>
    <s v="Tampa"/>
    <x v="41"/>
    <n v="48.861098704778918"/>
  </r>
  <r>
    <s v="B-26146"/>
    <n v="4932"/>
    <n v="1153"/>
    <n v="1"/>
    <x v="1"/>
    <s v="Markers"/>
    <x v="4"/>
    <d v="2024-07-28T00:00:00"/>
    <s v="Megan Charles"/>
    <x v="0"/>
    <s v="Tampa"/>
    <x v="41"/>
    <n v="23.377939983779399"/>
  </r>
  <r>
    <s v="B-25549"/>
    <n v="4609"/>
    <n v="1084"/>
    <n v="8"/>
    <x v="0"/>
    <s v="Printers"/>
    <x v="0"/>
    <d v="2023-07-30T00:00:00"/>
    <s v="Amy Duran MD"/>
    <x v="0"/>
    <s v="Orlando"/>
    <x v="17"/>
    <n v="23.51920156216099"/>
  </r>
  <r>
    <s v="B-25549"/>
    <n v="2328"/>
    <n v="788"/>
    <n v="4"/>
    <x v="1"/>
    <s v="Paper"/>
    <x v="0"/>
    <d v="2023-07-30T00:00:00"/>
    <s v="Amy Duran MD"/>
    <x v="0"/>
    <s v="Orlando"/>
    <x v="17"/>
    <n v="33.848797250859107"/>
  </r>
  <r>
    <s v="B-25549"/>
    <n v="4734"/>
    <n v="958"/>
    <n v="7"/>
    <x v="0"/>
    <s v="Printers"/>
    <x v="1"/>
    <d v="2023-07-30T00:00:00"/>
    <s v="Amy Duran MD"/>
    <x v="0"/>
    <s v="Orlando"/>
    <x v="17"/>
    <n v="20.236586396282213"/>
  </r>
  <r>
    <s v="B-25488"/>
    <n v="1388"/>
    <n v="345"/>
    <n v="5"/>
    <x v="2"/>
    <s v="Sofas"/>
    <x v="0"/>
    <d v="2024-10-05T00:00:00"/>
    <s v="Christopher Thomas"/>
    <x v="2"/>
    <s v="New York City"/>
    <x v="56"/>
    <n v="24.855907780979827"/>
  </r>
  <r>
    <s v="B-25488"/>
    <n v="8555"/>
    <n v="1638"/>
    <n v="8"/>
    <x v="0"/>
    <s v="Laptops"/>
    <x v="3"/>
    <d v="2024-10-05T00:00:00"/>
    <s v="Christopher Thomas"/>
    <x v="2"/>
    <s v="New York City"/>
    <x v="56"/>
    <n v="19.146697837521916"/>
  </r>
  <r>
    <s v="B-26885"/>
    <n v="9024"/>
    <n v="730"/>
    <n v="4"/>
    <x v="2"/>
    <s v="Tables"/>
    <x v="3"/>
    <d v="2024-02-20T00:00:00"/>
    <s v="Peter Castro"/>
    <x v="4"/>
    <s v="Dallas"/>
    <x v="42"/>
    <n v="8.0895390070921991"/>
  </r>
  <r>
    <s v="B-26885"/>
    <n v="2468"/>
    <n v="418"/>
    <n v="4"/>
    <x v="0"/>
    <s v="Laptops"/>
    <x v="3"/>
    <d v="2024-02-20T00:00:00"/>
    <s v="Peter Castro"/>
    <x v="4"/>
    <s v="Dallas"/>
    <x v="42"/>
    <n v="16.936790923824958"/>
  </r>
  <r>
    <s v="B-25703"/>
    <n v="9438"/>
    <n v="1801"/>
    <n v="4"/>
    <x v="0"/>
    <s v="Electronic Games"/>
    <x v="4"/>
    <d v="2023-04-19T00:00:00"/>
    <s v="Steven Acosta"/>
    <x v="0"/>
    <s v="Orlando"/>
    <x v="28"/>
    <n v="19.082432718796355"/>
  </r>
  <r>
    <s v="B-25703"/>
    <n v="9438"/>
    <n v="1801"/>
    <n v="4"/>
    <x v="0"/>
    <s v="Electronic Games"/>
    <x v="4"/>
    <d v="2023-10-29T00:00:00"/>
    <s v="Lindsay Jackson"/>
    <x v="4"/>
    <s v="Austin"/>
    <x v="59"/>
    <n v="19.082432718796355"/>
  </r>
  <r>
    <s v="B-25809"/>
    <n v="2685"/>
    <n v="379"/>
    <n v="18"/>
    <x v="0"/>
    <s v="Phones"/>
    <x v="0"/>
    <d v="2022-03-08T00:00:00"/>
    <s v="Kelly Smith"/>
    <x v="5"/>
    <s v="Cleveland"/>
    <x v="25"/>
    <n v="14.115456238361265"/>
  </r>
  <r>
    <s v="B-25809"/>
    <n v="2685"/>
    <n v="379"/>
    <n v="18"/>
    <x v="0"/>
    <s v="Phones"/>
    <x v="0"/>
    <d v="2022-12-08T00:00:00"/>
    <s v="Sabrina Hartman"/>
    <x v="0"/>
    <s v="Tampa"/>
    <x v="29"/>
    <n v="14.115456238361265"/>
  </r>
  <r>
    <s v="B-25809"/>
    <n v="9916"/>
    <n v="4602"/>
    <n v="14"/>
    <x v="2"/>
    <s v="Chairs"/>
    <x v="0"/>
    <d v="2022-03-08T00:00:00"/>
    <s v="Kelly Smith"/>
    <x v="5"/>
    <s v="Cleveland"/>
    <x v="25"/>
    <n v="46.409842678499395"/>
  </r>
  <r>
    <s v="B-25809"/>
    <n v="9916"/>
    <n v="4602"/>
    <n v="14"/>
    <x v="2"/>
    <s v="Chairs"/>
    <x v="0"/>
    <d v="2022-12-08T00:00:00"/>
    <s v="Sabrina Hartman"/>
    <x v="0"/>
    <s v="Tampa"/>
    <x v="29"/>
    <n v="46.409842678499395"/>
  </r>
  <r>
    <s v="B-25809"/>
    <n v="6184"/>
    <n v="50"/>
    <n v="14"/>
    <x v="0"/>
    <s v="Electronic Games"/>
    <x v="3"/>
    <d v="2022-03-08T00:00:00"/>
    <s v="Kelly Smith"/>
    <x v="5"/>
    <s v="Cleveland"/>
    <x v="25"/>
    <n v="0.80853816300129366"/>
  </r>
  <r>
    <s v="B-25809"/>
    <n v="6184"/>
    <n v="50"/>
    <n v="14"/>
    <x v="0"/>
    <s v="Electronic Games"/>
    <x v="3"/>
    <d v="2022-12-08T00:00:00"/>
    <s v="Sabrina Hartman"/>
    <x v="0"/>
    <s v="Tampa"/>
    <x v="29"/>
    <n v="0.80853816300129366"/>
  </r>
  <r>
    <s v="B-25809"/>
    <n v="4548"/>
    <n v="2135"/>
    <n v="8"/>
    <x v="1"/>
    <s v="Markers"/>
    <x v="1"/>
    <d v="2022-03-08T00:00:00"/>
    <s v="Kelly Smith"/>
    <x v="5"/>
    <s v="Cleveland"/>
    <x v="25"/>
    <n v="46.943711521547932"/>
  </r>
  <r>
    <s v="B-25809"/>
    <n v="4548"/>
    <n v="2135"/>
    <n v="8"/>
    <x v="1"/>
    <s v="Markers"/>
    <x v="1"/>
    <d v="2022-12-08T00:00:00"/>
    <s v="Sabrina Hartman"/>
    <x v="0"/>
    <s v="Tampa"/>
    <x v="29"/>
    <n v="46.943711521547932"/>
  </r>
  <r>
    <s v="B-25477"/>
    <n v="7195"/>
    <n v="1665"/>
    <n v="7"/>
    <x v="1"/>
    <s v="Markers"/>
    <x v="4"/>
    <d v="2024-07-27T00:00:00"/>
    <s v="Cynthia Smith"/>
    <x v="2"/>
    <s v="Rochester"/>
    <x v="41"/>
    <n v="23.141070187630302"/>
  </r>
  <r>
    <s v="B-25477"/>
    <n v="7195"/>
    <n v="1665"/>
    <n v="7"/>
    <x v="1"/>
    <s v="Markers"/>
    <x v="4"/>
    <d v="2022-07-05T00:00:00"/>
    <s v="Olivia Dickerson"/>
    <x v="2"/>
    <s v="Buffalo"/>
    <x v="58"/>
    <n v="23.141070187630302"/>
  </r>
  <r>
    <s v="B-26018"/>
    <n v="3098"/>
    <n v="957"/>
    <n v="18"/>
    <x v="2"/>
    <s v="Bookcases"/>
    <x v="4"/>
    <d v="2024-07-04T00:00:00"/>
    <s v="Whitney Stout"/>
    <x v="4"/>
    <s v="Austin"/>
    <x v="41"/>
    <n v="30.890897353131052"/>
  </r>
  <r>
    <s v="B-25329"/>
    <n v="5412"/>
    <n v="1192"/>
    <n v="18"/>
    <x v="2"/>
    <s v="Tables"/>
    <x v="3"/>
    <d v="2024-02-28T00:00:00"/>
    <s v="Stephanie Flores"/>
    <x v="3"/>
    <s v="San Diego"/>
    <x v="42"/>
    <n v="22.025129342202511"/>
  </r>
  <r>
    <s v="B-25329"/>
    <n v="5412"/>
    <n v="1192"/>
    <n v="18"/>
    <x v="2"/>
    <s v="Tables"/>
    <x v="3"/>
    <d v="2025-01-03T00:00:00"/>
    <s v="Gregory English"/>
    <x v="3"/>
    <s v="Los Angeles"/>
    <x v="52"/>
    <n v="22.025129342202511"/>
  </r>
  <r>
    <s v="B-25182"/>
    <n v="1397"/>
    <n v="686"/>
    <n v="11"/>
    <x v="2"/>
    <s v="Chairs"/>
    <x v="3"/>
    <d v="2021-12-07T00:00:00"/>
    <s v="Natalie Maxwell"/>
    <x v="2"/>
    <s v="New York City"/>
    <x v="13"/>
    <n v="49.105225483178238"/>
  </r>
  <r>
    <s v="B-25492"/>
    <n v="9279"/>
    <n v="552"/>
    <n v="14"/>
    <x v="2"/>
    <s v="Chairs"/>
    <x v="2"/>
    <d v="2021-12-14T00:00:00"/>
    <s v="Tina Blake"/>
    <x v="2"/>
    <s v="Buffalo"/>
    <x v="13"/>
    <n v="5.948916909149693"/>
  </r>
  <r>
    <s v="B-25492"/>
    <n v="9279"/>
    <n v="552"/>
    <n v="14"/>
    <x v="2"/>
    <s v="Chairs"/>
    <x v="2"/>
    <d v="2020-11-30T00:00:00"/>
    <s v="Clarence Cooke"/>
    <x v="3"/>
    <s v="San Francisco"/>
    <x v="11"/>
    <n v="5.948916909149693"/>
  </r>
  <r>
    <s v="B-25492"/>
    <n v="2596"/>
    <n v="1003"/>
    <n v="19"/>
    <x v="1"/>
    <s v="Paper"/>
    <x v="3"/>
    <d v="2021-12-14T00:00:00"/>
    <s v="Tina Blake"/>
    <x v="2"/>
    <s v="Buffalo"/>
    <x v="13"/>
    <n v="38.636363636363633"/>
  </r>
  <r>
    <s v="B-25492"/>
    <n v="2596"/>
    <n v="1003"/>
    <n v="19"/>
    <x v="1"/>
    <s v="Paper"/>
    <x v="3"/>
    <d v="2020-11-30T00:00:00"/>
    <s v="Clarence Cooke"/>
    <x v="3"/>
    <s v="San Francisco"/>
    <x v="11"/>
    <n v="38.636363636363633"/>
  </r>
  <r>
    <s v="B-25517"/>
    <n v="6732"/>
    <n v="911"/>
    <n v="19"/>
    <x v="2"/>
    <s v="Bookcases"/>
    <x v="2"/>
    <d v="2021-12-29T00:00:00"/>
    <s v="Tamara Guzman"/>
    <x v="2"/>
    <s v="Buffalo"/>
    <x v="13"/>
    <n v="13.532382650029708"/>
  </r>
  <r>
    <s v="B-25517"/>
    <n v="4495"/>
    <n v="1408"/>
    <n v="14"/>
    <x v="1"/>
    <s v="Pens"/>
    <x v="2"/>
    <d v="2021-12-29T00:00:00"/>
    <s v="Tamara Guzman"/>
    <x v="2"/>
    <s v="Buffalo"/>
    <x v="13"/>
    <n v="31.323692992213569"/>
  </r>
  <r>
    <s v="B-25200"/>
    <n v="9653"/>
    <n v="2471"/>
    <n v="6"/>
    <x v="1"/>
    <s v="Paper"/>
    <x v="0"/>
    <d v="2024-07-08T00:00:00"/>
    <s v="Marissa Hartman"/>
    <x v="2"/>
    <s v="Buffalo"/>
    <x v="41"/>
    <n v="25.598259608411894"/>
  </r>
  <r>
    <s v="B-26009"/>
    <n v="8945"/>
    <n v="1728"/>
    <n v="10"/>
    <x v="2"/>
    <s v="Tables"/>
    <x v="0"/>
    <d v="2021-02-10T00:00:00"/>
    <s v="Sara Garcia"/>
    <x v="1"/>
    <s v="Peoria"/>
    <x v="51"/>
    <n v="19.31805477920626"/>
  </r>
  <r>
    <s v="B-26580"/>
    <n v="4007"/>
    <n v="201"/>
    <n v="13"/>
    <x v="2"/>
    <s v="Bookcases"/>
    <x v="4"/>
    <d v="2020-10-21T00:00:00"/>
    <s v="Kathryn Rogers"/>
    <x v="5"/>
    <s v="Columbus"/>
    <x v="20"/>
    <n v="5.0162216121786871"/>
  </r>
  <r>
    <s v="B-26580"/>
    <n v="4007"/>
    <n v="201"/>
    <n v="13"/>
    <x v="2"/>
    <s v="Bookcases"/>
    <x v="4"/>
    <d v="2023-04-17T00:00:00"/>
    <s v="Kyle Dickson"/>
    <x v="4"/>
    <s v="Dallas"/>
    <x v="28"/>
    <n v="5.0162216121786871"/>
  </r>
  <r>
    <s v="B-25679"/>
    <n v="810"/>
    <n v="231"/>
    <n v="18"/>
    <x v="2"/>
    <s v="Bookcases"/>
    <x v="2"/>
    <d v="2020-10-21T00:00:00"/>
    <s v="Jacob Decker"/>
    <x v="0"/>
    <s v="Tampa"/>
    <x v="20"/>
    <n v="28.518518518518519"/>
  </r>
  <r>
    <s v="B-26034"/>
    <n v="9789"/>
    <n v="2071"/>
    <n v="18"/>
    <x v="2"/>
    <s v="Bookcases"/>
    <x v="1"/>
    <d v="2023-12-28T00:00:00"/>
    <s v="Aaron Johnson"/>
    <x v="2"/>
    <s v="Rochester"/>
    <x v="16"/>
    <n v="21.156400040862192"/>
  </r>
  <r>
    <s v="B-26034"/>
    <n v="9229"/>
    <n v="4090"/>
    <n v="8"/>
    <x v="0"/>
    <s v="Electronic Games"/>
    <x v="4"/>
    <d v="2023-12-28T00:00:00"/>
    <s v="Aaron Johnson"/>
    <x v="2"/>
    <s v="Rochester"/>
    <x v="16"/>
    <n v="44.316827391916789"/>
  </r>
  <r>
    <s v="B-25148"/>
    <n v="8141"/>
    <n v="3968"/>
    <n v="18"/>
    <x v="1"/>
    <s v="Markers"/>
    <x v="1"/>
    <d v="2022-12-23T00:00:00"/>
    <s v="William Morse"/>
    <x v="2"/>
    <s v="Rochester"/>
    <x v="29"/>
    <n v="48.740940916349338"/>
  </r>
  <r>
    <s v="B-25148"/>
    <n v="8141"/>
    <n v="3968"/>
    <n v="18"/>
    <x v="1"/>
    <s v="Markers"/>
    <x v="1"/>
    <d v="2022-08-10T00:00:00"/>
    <s v="Carrie Smith"/>
    <x v="1"/>
    <s v="Peoria"/>
    <x v="40"/>
    <n v="48.740940916349338"/>
  </r>
  <r>
    <s v="B-25148"/>
    <n v="1067"/>
    <n v="251"/>
    <n v="14"/>
    <x v="2"/>
    <s v="Sofas"/>
    <x v="2"/>
    <d v="2022-12-23T00:00:00"/>
    <s v="William Morse"/>
    <x v="2"/>
    <s v="Rochester"/>
    <x v="29"/>
    <n v="23.523898781630738"/>
  </r>
  <r>
    <s v="B-25148"/>
    <n v="1067"/>
    <n v="251"/>
    <n v="14"/>
    <x v="2"/>
    <s v="Sofas"/>
    <x v="2"/>
    <d v="2022-08-10T00:00:00"/>
    <s v="Carrie Smith"/>
    <x v="1"/>
    <s v="Peoria"/>
    <x v="40"/>
    <n v="23.523898781630738"/>
  </r>
  <r>
    <s v="B-25830"/>
    <n v="3839"/>
    <n v="1415"/>
    <n v="10"/>
    <x v="1"/>
    <s v="Binders"/>
    <x v="0"/>
    <d v="2023-10-17T00:00:00"/>
    <s v="Vincent Roth"/>
    <x v="3"/>
    <s v="Los Angeles"/>
    <x v="59"/>
    <n v="36.858556915863502"/>
  </r>
  <r>
    <s v="B-25830"/>
    <n v="3839"/>
    <n v="1415"/>
    <n v="10"/>
    <x v="1"/>
    <s v="Binders"/>
    <x v="0"/>
    <d v="2022-02-28T00:00:00"/>
    <s v="Andrew Benson"/>
    <x v="0"/>
    <s v="Orlando"/>
    <x v="26"/>
    <n v="36.858556915863502"/>
  </r>
  <r>
    <s v="B-25762"/>
    <n v="2858"/>
    <n v="482"/>
    <n v="13"/>
    <x v="0"/>
    <s v="Electronic Games"/>
    <x v="4"/>
    <d v="2024-05-24T00:00:00"/>
    <s v="Jason Wilson"/>
    <x v="4"/>
    <s v="Austin"/>
    <x v="3"/>
    <n v="16.864940517844644"/>
  </r>
  <r>
    <s v="B-26794"/>
    <n v="2137"/>
    <n v="638"/>
    <n v="12"/>
    <x v="2"/>
    <s v="Bookcases"/>
    <x v="1"/>
    <d v="2020-10-02T00:00:00"/>
    <s v="Colin Patterson"/>
    <x v="2"/>
    <s v="New York City"/>
    <x v="20"/>
    <n v="29.854936827328032"/>
  </r>
  <r>
    <s v="B-26794"/>
    <n v="2831"/>
    <n v="1289"/>
    <n v="12"/>
    <x v="2"/>
    <s v="Chairs"/>
    <x v="1"/>
    <d v="2020-10-02T00:00:00"/>
    <s v="Colin Patterson"/>
    <x v="2"/>
    <s v="New York City"/>
    <x v="20"/>
    <n v="45.531614270575773"/>
  </r>
  <r>
    <s v="B-25011"/>
    <n v="3913"/>
    <n v="961"/>
    <n v="15"/>
    <x v="2"/>
    <s v="Sofas"/>
    <x v="0"/>
    <d v="2024-02-10T00:00:00"/>
    <s v="Eric Bates"/>
    <x v="5"/>
    <s v="Columbus"/>
    <x v="42"/>
    <n v="24.559161768464094"/>
  </r>
  <r>
    <s v="B-25011"/>
    <n v="3913"/>
    <n v="961"/>
    <n v="15"/>
    <x v="2"/>
    <s v="Sofas"/>
    <x v="0"/>
    <d v="2021-02-06T00:00:00"/>
    <s v="Steven Keith"/>
    <x v="3"/>
    <s v="San Francisco"/>
    <x v="51"/>
    <n v="24.559161768464094"/>
  </r>
  <r>
    <s v="B-25515"/>
    <n v="4468"/>
    <n v="1940"/>
    <n v="9"/>
    <x v="1"/>
    <s v="Paper"/>
    <x v="4"/>
    <d v="2022-03-16T00:00:00"/>
    <s v="Seth Rodriguez"/>
    <x v="0"/>
    <s v="Tampa"/>
    <x v="25"/>
    <n v="43.41987466427932"/>
  </r>
  <r>
    <s v="B-25369"/>
    <n v="1579"/>
    <n v="602"/>
    <n v="9"/>
    <x v="0"/>
    <s v="Laptops"/>
    <x v="3"/>
    <d v="2020-05-24T00:00:00"/>
    <s v="Lauren Jones"/>
    <x v="5"/>
    <s v="Cincinnati"/>
    <x v="8"/>
    <n v="38.125395820139332"/>
  </r>
  <r>
    <s v="B-25369"/>
    <n v="1579"/>
    <n v="602"/>
    <n v="9"/>
    <x v="0"/>
    <s v="Laptops"/>
    <x v="3"/>
    <d v="2025-02-16T00:00:00"/>
    <s v="Thomas Wallace"/>
    <x v="4"/>
    <s v="Dallas"/>
    <x v="9"/>
    <n v="38.125395820139332"/>
  </r>
  <r>
    <s v="B-25369"/>
    <n v="1579"/>
    <n v="602"/>
    <n v="9"/>
    <x v="0"/>
    <s v="Laptops"/>
    <x v="3"/>
    <d v="2021-11-16T00:00:00"/>
    <s v="Mr. Daniel Wilson"/>
    <x v="5"/>
    <s v="Cincinnati"/>
    <x v="35"/>
    <n v="38.125395820139332"/>
  </r>
  <r>
    <s v="B-25369"/>
    <n v="1579"/>
    <n v="602"/>
    <n v="9"/>
    <x v="0"/>
    <s v="Laptops"/>
    <x v="3"/>
    <d v="2024-09-08T00:00:00"/>
    <s v="Julie Smith MD"/>
    <x v="2"/>
    <s v="Rochester"/>
    <x v="31"/>
    <n v="38.125395820139332"/>
  </r>
  <r>
    <s v="B-25369"/>
    <n v="3760"/>
    <n v="1849"/>
    <n v="19"/>
    <x v="2"/>
    <s v="Chairs"/>
    <x v="2"/>
    <d v="2020-05-24T00:00:00"/>
    <s v="Lauren Jones"/>
    <x v="5"/>
    <s v="Cincinnati"/>
    <x v="8"/>
    <n v="49.175531914893618"/>
  </r>
  <r>
    <s v="B-25369"/>
    <n v="3760"/>
    <n v="1849"/>
    <n v="19"/>
    <x v="2"/>
    <s v="Chairs"/>
    <x v="2"/>
    <d v="2025-02-16T00:00:00"/>
    <s v="Thomas Wallace"/>
    <x v="4"/>
    <s v="Dallas"/>
    <x v="9"/>
    <n v="49.175531914893618"/>
  </r>
  <r>
    <s v="B-25369"/>
    <n v="3760"/>
    <n v="1849"/>
    <n v="19"/>
    <x v="2"/>
    <s v="Chairs"/>
    <x v="2"/>
    <d v="2021-11-16T00:00:00"/>
    <s v="Mr. Daniel Wilson"/>
    <x v="5"/>
    <s v="Cincinnati"/>
    <x v="35"/>
    <n v="49.175531914893618"/>
  </r>
  <r>
    <s v="B-25369"/>
    <n v="3760"/>
    <n v="1849"/>
    <n v="19"/>
    <x v="2"/>
    <s v="Chairs"/>
    <x v="2"/>
    <d v="2024-09-08T00:00:00"/>
    <s v="Julie Smith MD"/>
    <x v="2"/>
    <s v="Rochester"/>
    <x v="31"/>
    <n v="49.175531914893618"/>
  </r>
  <r>
    <s v="B-26222"/>
    <n v="8706"/>
    <n v="3099"/>
    <n v="14"/>
    <x v="1"/>
    <s v="Pens"/>
    <x v="3"/>
    <d v="2022-06-29T00:00:00"/>
    <s v="Carol Mitchell"/>
    <x v="1"/>
    <s v="Chicago"/>
    <x v="33"/>
    <n v="35.596140592694695"/>
  </r>
  <r>
    <s v="B-26222"/>
    <n v="4708"/>
    <n v="696"/>
    <n v="14"/>
    <x v="0"/>
    <s v="Electronic Games"/>
    <x v="3"/>
    <d v="2022-06-29T00:00:00"/>
    <s v="Carol Mitchell"/>
    <x v="1"/>
    <s v="Chicago"/>
    <x v="33"/>
    <n v="14.783347493627868"/>
  </r>
  <r>
    <s v="B-26222"/>
    <n v="8089"/>
    <n v="3132"/>
    <n v="17"/>
    <x v="2"/>
    <s v="Chairs"/>
    <x v="4"/>
    <d v="2022-06-29T00:00:00"/>
    <s v="Carol Mitchell"/>
    <x v="1"/>
    <s v="Chicago"/>
    <x v="33"/>
    <n v="38.719248361973051"/>
  </r>
  <r>
    <s v="B-25316"/>
    <n v="5462"/>
    <n v="673"/>
    <n v="12"/>
    <x v="0"/>
    <s v="Printers"/>
    <x v="1"/>
    <d v="2022-11-03T00:00:00"/>
    <s v="John Thompson"/>
    <x v="4"/>
    <s v="Austin"/>
    <x v="5"/>
    <n v="12.321493958257049"/>
  </r>
  <r>
    <s v="B-25507"/>
    <n v="6392"/>
    <n v="444"/>
    <n v="18"/>
    <x v="0"/>
    <s v="Electronic Games"/>
    <x v="3"/>
    <d v="2023-11-28T00:00:00"/>
    <s v="Debra Rodriguez"/>
    <x v="0"/>
    <s v="Tampa"/>
    <x v="6"/>
    <n v="6.9461827284105135"/>
  </r>
  <r>
    <s v="B-25846"/>
    <n v="8706"/>
    <n v="1724"/>
    <n v="3"/>
    <x v="0"/>
    <s v="Electronic Games"/>
    <x v="1"/>
    <d v="2020-04-25T00:00:00"/>
    <s v="Erin Vasquez"/>
    <x v="0"/>
    <s v="Orlando"/>
    <x v="32"/>
    <n v="19.802435102228351"/>
  </r>
  <r>
    <s v="B-25763"/>
    <n v="2349"/>
    <n v="319"/>
    <n v="4"/>
    <x v="1"/>
    <s v="Pens"/>
    <x v="0"/>
    <d v="2022-01-18T00:00:00"/>
    <s v="Clayton Lara"/>
    <x v="0"/>
    <s v="Miami"/>
    <x v="12"/>
    <n v="13.580246913580247"/>
  </r>
  <r>
    <s v="B-25763"/>
    <n v="8220"/>
    <n v="3882"/>
    <n v="14"/>
    <x v="2"/>
    <s v="Chairs"/>
    <x v="0"/>
    <d v="2022-01-18T00:00:00"/>
    <s v="Clayton Lara"/>
    <x v="0"/>
    <s v="Miami"/>
    <x v="12"/>
    <n v="47.226277372262778"/>
  </r>
  <r>
    <s v="B-25763"/>
    <n v="2379"/>
    <n v="279"/>
    <n v="7"/>
    <x v="2"/>
    <s v="Chairs"/>
    <x v="1"/>
    <d v="2022-01-18T00:00:00"/>
    <s v="Clayton Lara"/>
    <x v="0"/>
    <s v="Miami"/>
    <x v="12"/>
    <n v="11.727616645649434"/>
  </r>
  <r>
    <s v="B-25763"/>
    <n v="7377"/>
    <n v="2049"/>
    <n v="4"/>
    <x v="1"/>
    <s v="Markers"/>
    <x v="0"/>
    <d v="2022-01-18T00:00:00"/>
    <s v="Clayton Lara"/>
    <x v="0"/>
    <s v="Miami"/>
    <x v="12"/>
    <n v="27.775518503456691"/>
  </r>
  <r>
    <s v="B-25465"/>
    <n v="717"/>
    <n v="158"/>
    <n v="16"/>
    <x v="2"/>
    <s v="Tables"/>
    <x v="3"/>
    <d v="2022-03-23T00:00:00"/>
    <s v="Tony Ray"/>
    <x v="5"/>
    <s v="Cleveland"/>
    <x v="25"/>
    <n v="22.036262203626219"/>
  </r>
  <r>
    <s v="B-25465"/>
    <n v="717"/>
    <n v="158"/>
    <n v="16"/>
    <x v="2"/>
    <s v="Tables"/>
    <x v="3"/>
    <d v="2020-06-24T00:00:00"/>
    <s v="Steven Frey"/>
    <x v="0"/>
    <s v="Miami"/>
    <x v="53"/>
    <n v="22.036262203626219"/>
  </r>
  <r>
    <s v="B-25465"/>
    <n v="717"/>
    <n v="158"/>
    <n v="16"/>
    <x v="2"/>
    <s v="Tables"/>
    <x v="3"/>
    <d v="2022-12-23T00:00:00"/>
    <s v="Stephanie Leonard"/>
    <x v="2"/>
    <s v="Buffalo"/>
    <x v="29"/>
    <n v="22.036262203626219"/>
  </r>
  <r>
    <s v="B-25465"/>
    <n v="717"/>
    <n v="158"/>
    <n v="16"/>
    <x v="2"/>
    <s v="Tables"/>
    <x v="3"/>
    <d v="2024-11-24T00:00:00"/>
    <s v="Crystal Chambers"/>
    <x v="2"/>
    <s v="New York City"/>
    <x v="46"/>
    <n v="22.036262203626219"/>
  </r>
  <r>
    <s v="B-25465"/>
    <n v="717"/>
    <n v="158"/>
    <n v="16"/>
    <x v="2"/>
    <s v="Tables"/>
    <x v="3"/>
    <d v="2020-11-06T00:00:00"/>
    <s v="Robert White"/>
    <x v="0"/>
    <s v="Orlando"/>
    <x v="11"/>
    <n v="22.036262203626219"/>
  </r>
  <r>
    <s v="B-25465"/>
    <n v="717"/>
    <n v="158"/>
    <n v="16"/>
    <x v="2"/>
    <s v="Tables"/>
    <x v="3"/>
    <d v="2023-10-24T00:00:00"/>
    <s v="Sylvia Barron"/>
    <x v="2"/>
    <s v="Rochester"/>
    <x v="59"/>
    <n v="22.036262203626219"/>
  </r>
  <r>
    <s v="B-25465"/>
    <n v="508"/>
    <n v="177"/>
    <n v="17"/>
    <x v="2"/>
    <s v="Sofas"/>
    <x v="0"/>
    <d v="2022-03-23T00:00:00"/>
    <s v="Tony Ray"/>
    <x v="5"/>
    <s v="Cleveland"/>
    <x v="25"/>
    <n v="34.84251968503937"/>
  </r>
  <r>
    <s v="B-25465"/>
    <n v="508"/>
    <n v="177"/>
    <n v="17"/>
    <x v="2"/>
    <s v="Sofas"/>
    <x v="0"/>
    <d v="2020-06-24T00:00:00"/>
    <s v="Steven Frey"/>
    <x v="0"/>
    <s v="Miami"/>
    <x v="53"/>
    <n v="34.84251968503937"/>
  </r>
  <r>
    <s v="B-25465"/>
    <n v="508"/>
    <n v="177"/>
    <n v="17"/>
    <x v="2"/>
    <s v="Sofas"/>
    <x v="0"/>
    <d v="2022-12-23T00:00:00"/>
    <s v="Stephanie Leonard"/>
    <x v="2"/>
    <s v="Buffalo"/>
    <x v="29"/>
    <n v="34.84251968503937"/>
  </r>
  <r>
    <s v="B-25465"/>
    <n v="508"/>
    <n v="177"/>
    <n v="17"/>
    <x v="2"/>
    <s v="Sofas"/>
    <x v="0"/>
    <d v="2024-11-24T00:00:00"/>
    <s v="Crystal Chambers"/>
    <x v="2"/>
    <s v="New York City"/>
    <x v="46"/>
    <n v="34.84251968503937"/>
  </r>
  <r>
    <s v="B-25465"/>
    <n v="508"/>
    <n v="177"/>
    <n v="17"/>
    <x v="2"/>
    <s v="Sofas"/>
    <x v="0"/>
    <d v="2020-11-06T00:00:00"/>
    <s v="Robert White"/>
    <x v="0"/>
    <s v="Orlando"/>
    <x v="11"/>
    <n v="34.84251968503937"/>
  </r>
  <r>
    <s v="B-25465"/>
    <n v="508"/>
    <n v="177"/>
    <n v="17"/>
    <x v="2"/>
    <s v="Sofas"/>
    <x v="0"/>
    <d v="2023-10-24T00:00:00"/>
    <s v="Sylvia Barron"/>
    <x v="2"/>
    <s v="Rochester"/>
    <x v="59"/>
    <n v="34.84251968503937"/>
  </r>
  <r>
    <s v="B-26352"/>
    <n v="9382"/>
    <n v="1085"/>
    <n v="3"/>
    <x v="0"/>
    <s v="Printers"/>
    <x v="1"/>
    <d v="2023-07-18T00:00:00"/>
    <s v="Marcus Brown"/>
    <x v="1"/>
    <s v="Chicago"/>
    <x v="17"/>
    <n v="11.564698358558942"/>
  </r>
  <r>
    <s v="B-26352"/>
    <n v="9382"/>
    <n v="1085"/>
    <n v="3"/>
    <x v="0"/>
    <s v="Printers"/>
    <x v="1"/>
    <d v="2022-05-16T00:00:00"/>
    <s v="Annette Pierce"/>
    <x v="2"/>
    <s v="Rochester"/>
    <x v="37"/>
    <n v="11.564698358558942"/>
  </r>
  <r>
    <s v="B-26352"/>
    <n v="4936"/>
    <n v="576"/>
    <n v="19"/>
    <x v="2"/>
    <s v="Tables"/>
    <x v="4"/>
    <d v="2023-07-18T00:00:00"/>
    <s v="Marcus Brown"/>
    <x v="1"/>
    <s v="Chicago"/>
    <x v="17"/>
    <n v="11.66936790923825"/>
  </r>
  <r>
    <s v="B-26352"/>
    <n v="4936"/>
    <n v="576"/>
    <n v="19"/>
    <x v="2"/>
    <s v="Tables"/>
    <x v="4"/>
    <d v="2022-05-16T00:00:00"/>
    <s v="Annette Pierce"/>
    <x v="2"/>
    <s v="Rochester"/>
    <x v="37"/>
    <n v="11.66936790923825"/>
  </r>
  <r>
    <s v="B-26528"/>
    <n v="2663"/>
    <n v="64"/>
    <n v="19"/>
    <x v="2"/>
    <s v="Sofas"/>
    <x v="4"/>
    <d v="2024-06-16T00:00:00"/>
    <s v="Donald Hernandez"/>
    <x v="3"/>
    <s v="San Francisco"/>
    <x v="47"/>
    <n v="2.403304543747653"/>
  </r>
  <r>
    <s v="B-26528"/>
    <n v="2663"/>
    <n v="64"/>
    <n v="19"/>
    <x v="2"/>
    <s v="Sofas"/>
    <x v="4"/>
    <d v="2021-10-23T00:00:00"/>
    <s v="Megan Davis"/>
    <x v="5"/>
    <s v="Cleveland"/>
    <x v="4"/>
    <n v="2.403304543747653"/>
  </r>
  <r>
    <s v="B-26670"/>
    <n v="5151"/>
    <n v="1680"/>
    <n v="5"/>
    <x v="0"/>
    <s v="Printers"/>
    <x v="2"/>
    <d v="2022-10-22T00:00:00"/>
    <s v="Robert Brooks"/>
    <x v="4"/>
    <s v="Houston"/>
    <x v="15"/>
    <n v="32.615026208503203"/>
  </r>
  <r>
    <s v="B-25331"/>
    <n v="2514"/>
    <n v="95"/>
    <n v="8"/>
    <x v="1"/>
    <s v="Pens"/>
    <x v="0"/>
    <d v="2023-07-17T00:00:00"/>
    <s v="Miguel Alvarez"/>
    <x v="2"/>
    <s v="Rochester"/>
    <x v="17"/>
    <n v="3.7788385043754973"/>
  </r>
  <r>
    <s v="B-25832"/>
    <n v="6129"/>
    <n v="2976"/>
    <n v="2"/>
    <x v="0"/>
    <s v="Laptops"/>
    <x v="2"/>
    <d v="2025-02-24T00:00:00"/>
    <s v="Jennifer Arnold"/>
    <x v="2"/>
    <s v="New York City"/>
    <x v="9"/>
    <n v="48.556045031815955"/>
  </r>
  <r>
    <s v="B-25832"/>
    <n v="4395"/>
    <n v="1663"/>
    <n v="3"/>
    <x v="2"/>
    <s v="Bookcases"/>
    <x v="4"/>
    <d v="2025-02-24T00:00:00"/>
    <s v="Jennifer Arnold"/>
    <x v="2"/>
    <s v="New York City"/>
    <x v="9"/>
    <n v="37.838452787258248"/>
  </r>
  <r>
    <s v="B-25897"/>
    <n v="5393"/>
    <n v="2642"/>
    <n v="8"/>
    <x v="2"/>
    <s v="Chairs"/>
    <x v="0"/>
    <d v="2021-03-07T00:00:00"/>
    <s v="Jessica Blankenship"/>
    <x v="5"/>
    <s v="Cincinnati"/>
    <x v="34"/>
    <n v="48.989430743556461"/>
  </r>
  <r>
    <s v="B-25713"/>
    <n v="2280"/>
    <n v="509"/>
    <n v="8"/>
    <x v="0"/>
    <s v="Phones"/>
    <x v="3"/>
    <d v="2021-01-03T00:00:00"/>
    <s v="Peggy Campos"/>
    <x v="2"/>
    <s v="Buffalo"/>
    <x v="49"/>
    <n v="22.32456140350877"/>
  </r>
  <r>
    <s v="B-25065"/>
    <n v="6596"/>
    <n v="1439"/>
    <n v="9"/>
    <x v="1"/>
    <s v="Paper"/>
    <x v="1"/>
    <d v="2023-05-03T00:00:00"/>
    <s v="Craig Ortega"/>
    <x v="5"/>
    <s v="Cincinnati"/>
    <x v="23"/>
    <n v="21.816252274105519"/>
  </r>
  <r>
    <s v="B-25949"/>
    <n v="4510"/>
    <n v="1896"/>
    <n v="5"/>
    <x v="1"/>
    <s v="Paper"/>
    <x v="2"/>
    <d v="2023-10-25T00:00:00"/>
    <s v="Johnny Simon"/>
    <x v="3"/>
    <s v="Los Angeles"/>
    <x v="59"/>
    <n v="42.03991130820399"/>
  </r>
  <r>
    <s v="B-26033"/>
    <n v="6077"/>
    <n v="2378"/>
    <n v="18"/>
    <x v="0"/>
    <s v="Phones"/>
    <x v="4"/>
    <d v="2022-08-21T00:00:00"/>
    <s v="Keith Brooks"/>
    <x v="2"/>
    <s v="New York City"/>
    <x v="40"/>
    <n v="39.131150238604576"/>
  </r>
  <r>
    <s v="B-26017"/>
    <n v="5379"/>
    <n v="2510"/>
    <n v="17"/>
    <x v="0"/>
    <s v="Printers"/>
    <x v="4"/>
    <d v="2022-04-16T00:00:00"/>
    <s v="Jason Martinez"/>
    <x v="5"/>
    <s v="Columbus"/>
    <x v="39"/>
    <n v="46.662948503439303"/>
  </r>
  <r>
    <s v="B-26926"/>
    <n v="4629"/>
    <n v="1660"/>
    <n v="16"/>
    <x v="1"/>
    <s v="Markers"/>
    <x v="2"/>
    <d v="2023-04-02T00:00:00"/>
    <s v="Steven Herrera"/>
    <x v="3"/>
    <s v="San Diego"/>
    <x v="28"/>
    <n v="35.86087707928278"/>
  </r>
  <r>
    <s v="B-26258"/>
    <n v="2710"/>
    <n v="555"/>
    <n v="20"/>
    <x v="0"/>
    <s v="Laptops"/>
    <x v="1"/>
    <d v="2024-10-21T00:00:00"/>
    <s v="Beverly Lamb"/>
    <x v="1"/>
    <s v="Chicago"/>
    <x v="56"/>
    <n v="20.479704797047972"/>
  </r>
  <r>
    <s v="B-26258"/>
    <n v="3224"/>
    <n v="1018"/>
    <n v="14"/>
    <x v="1"/>
    <s v="Binders"/>
    <x v="0"/>
    <d v="2024-10-21T00:00:00"/>
    <s v="Beverly Lamb"/>
    <x v="1"/>
    <s v="Chicago"/>
    <x v="56"/>
    <n v="31.575682382133998"/>
  </r>
  <r>
    <s v="B-26240"/>
    <n v="8042"/>
    <n v="936"/>
    <n v="15"/>
    <x v="1"/>
    <s v="Markers"/>
    <x v="2"/>
    <d v="2021-07-09T00:00:00"/>
    <s v="Michael Williams"/>
    <x v="1"/>
    <s v="Springfield"/>
    <x v="2"/>
    <n v="11.638895797065407"/>
  </r>
  <r>
    <s v="B-26240"/>
    <n v="8042"/>
    <n v="936"/>
    <n v="15"/>
    <x v="1"/>
    <s v="Markers"/>
    <x v="2"/>
    <d v="2022-04-08T00:00:00"/>
    <s v="Zachary Carpenter"/>
    <x v="3"/>
    <s v="Los Angeles"/>
    <x v="39"/>
    <n v="11.638895797065407"/>
  </r>
  <r>
    <s v="B-26922"/>
    <n v="3957"/>
    <n v="151"/>
    <n v="10"/>
    <x v="1"/>
    <s v="Binders"/>
    <x v="2"/>
    <d v="2022-04-30T00:00:00"/>
    <s v="Timothy Baker"/>
    <x v="4"/>
    <s v="Austin"/>
    <x v="39"/>
    <n v="3.8160222390700027"/>
  </r>
  <r>
    <s v="B-26894"/>
    <n v="8769"/>
    <n v="3178"/>
    <n v="16"/>
    <x v="1"/>
    <s v="Markers"/>
    <x v="1"/>
    <d v="2023-01-20T00:00:00"/>
    <s v="Adam James"/>
    <x v="1"/>
    <s v="Chicago"/>
    <x v="54"/>
    <n v="36.241304595734974"/>
  </r>
  <r>
    <s v="B-25330"/>
    <n v="2957"/>
    <n v="917"/>
    <n v="16"/>
    <x v="1"/>
    <s v="Pens"/>
    <x v="1"/>
    <d v="2024-11-17T00:00:00"/>
    <s v="Katrina Wood"/>
    <x v="1"/>
    <s v="Chicago"/>
    <x v="46"/>
    <n v="31.011159959418329"/>
  </r>
  <r>
    <s v="B-26288"/>
    <n v="5344"/>
    <n v="2607"/>
    <n v="6"/>
    <x v="1"/>
    <s v="Paper"/>
    <x v="1"/>
    <d v="2022-04-23T00:00:00"/>
    <s v="James Murray"/>
    <x v="4"/>
    <s v="Dallas"/>
    <x v="39"/>
    <n v="48.783682634730539"/>
  </r>
  <r>
    <s v="B-26288"/>
    <n v="5344"/>
    <n v="2607"/>
    <n v="6"/>
    <x v="1"/>
    <s v="Paper"/>
    <x v="1"/>
    <d v="2025-02-18T00:00:00"/>
    <s v="Mr. Nathaniel Reeves"/>
    <x v="2"/>
    <s v="Rochester"/>
    <x v="9"/>
    <n v="48.783682634730539"/>
  </r>
  <r>
    <s v="B-25228"/>
    <n v="6061"/>
    <n v="2121"/>
    <n v="19"/>
    <x v="0"/>
    <s v="Laptops"/>
    <x v="2"/>
    <d v="2021-05-27T00:00:00"/>
    <s v="Jodi Wood"/>
    <x v="5"/>
    <s v="Cleveland"/>
    <x v="18"/>
    <n v="34.994225375350602"/>
  </r>
  <r>
    <s v="B-25228"/>
    <n v="6061"/>
    <n v="2121"/>
    <n v="19"/>
    <x v="0"/>
    <s v="Laptops"/>
    <x v="2"/>
    <d v="2022-01-17T00:00:00"/>
    <s v="Dr. Thomas Peterson"/>
    <x v="3"/>
    <s v="San Diego"/>
    <x v="12"/>
    <n v="34.994225375350602"/>
  </r>
  <r>
    <s v="B-26457"/>
    <n v="5376"/>
    <n v="1928"/>
    <n v="7"/>
    <x v="2"/>
    <s v="Tables"/>
    <x v="3"/>
    <d v="2025-01-15T00:00:00"/>
    <s v="Mario Hall"/>
    <x v="2"/>
    <s v="New York City"/>
    <x v="52"/>
    <n v="35.863095238095241"/>
  </r>
  <r>
    <s v="B-25790"/>
    <n v="2792"/>
    <n v="1008"/>
    <n v="8"/>
    <x v="0"/>
    <s v="Printers"/>
    <x v="4"/>
    <d v="2021-02-14T00:00:00"/>
    <s v="Justin Rosales"/>
    <x v="0"/>
    <s v="Miami"/>
    <x v="51"/>
    <n v="36.103151862464181"/>
  </r>
  <r>
    <s v="B-25868"/>
    <n v="2944"/>
    <n v="249"/>
    <n v="5"/>
    <x v="1"/>
    <s v="Binders"/>
    <x v="3"/>
    <d v="2024-08-31T00:00:00"/>
    <s v="Autumn Lee"/>
    <x v="5"/>
    <s v="Columbus"/>
    <x v="19"/>
    <n v="8.4578804347826075"/>
  </r>
  <r>
    <s v="B-25868"/>
    <n v="2944"/>
    <n v="249"/>
    <n v="5"/>
    <x v="1"/>
    <s v="Binders"/>
    <x v="3"/>
    <d v="2022-12-26T00:00:00"/>
    <s v="Victoria Duran"/>
    <x v="4"/>
    <s v="Dallas"/>
    <x v="29"/>
    <n v="8.4578804347826075"/>
  </r>
  <r>
    <s v="B-25381"/>
    <n v="4220"/>
    <n v="945"/>
    <n v="13"/>
    <x v="1"/>
    <s v="Markers"/>
    <x v="2"/>
    <d v="2024-03-21T00:00:00"/>
    <s v="Barry Garcia"/>
    <x v="1"/>
    <s v="Springfield"/>
    <x v="55"/>
    <n v="22.393364928909953"/>
  </r>
  <r>
    <s v="B-25381"/>
    <n v="4220"/>
    <n v="945"/>
    <n v="13"/>
    <x v="1"/>
    <s v="Markers"/>
    <x v="2"/>
    <d v="2020-12-15T00:00:00"/>
    <s v="Dawn Webb"/>
    <x v="1"/>
    <s v="Peoria"/>
    <x v="50"/>
    <n v="22.393364928909953"/>
  </r>
  <r>
    <s v="B-25153"/>
    <n v="8526"/>
    <n v="1704"/>
    <n v="4"/>
    <x v="1"/>
    <s v="Binders"/>
    <x v="1"/>
    <d v="2023-03-21T00:00:00"/>
    <s v="Patricia Sanford"/>
    <x v="4"/>
    <s v="Austin"/>
    <x v="45"/>
    <n v="19.985925404644618"/>
  </r>
  <r>
    <s v="B-26576"/>
    <n v="8218"/>
    <n v="1430"/>
    <n v="19"/>
    <x v="2"/>
    <s v="Bookcases"/>
    <x v="3"/>
    <d v="2023-06-08T00:00:00"/>
    <s v="William Walters"/>
    <x v="3"/>
    <s v="San Francisco"/>
    <x v="0"/>
    <n v="17.400827451934777"/>
  </r>
  <r>
    <s v="B-26526"/>
    <n v="599"/>
    <n v="265"/>
    <n v="4"/>
    <x v="0"/>
    <s v="Phones"/>
    <x v="3"/>
    <d v="2022-07-17T00:00:00"/>
    <s v="Emma Scott"/>
    <x v="2"/>
    <s v="Buffalo"/>
    <x v="58"/>
    <n v="44.240400667779632"/>
  </r>
  <r>
    <s v="B-26526"/>
    <n v="599"/>
    <n v="265"/>
    <n v="4"/>
    <x v="0"/>
    <s v="Phones"/>
    <x v="3"/>
    <d v="2024-12-05T00:00:00"/>
    <s v="Sabrina Buckley"/>
    <x v="2"/>
    <s v="Rochester"/>
    <x v="1"/>
    <n v="44.240400667779632"/>
  </r>
  <r>
    <s v="B-26526"/>
    <n v="2727"/>
    <n v="543"/>
    <n v="10"/>
    <x v="2"/>
    <s v="Bookcases"/>
    <x v="3"/>
    <d v="2022-07-17T00:00:00"/>
    <s v="Emma Scott"/>
    <x v="2"/>
    <s v="Buffalo"/>
    <x v="58"/>
    <n v="19.911991199119914"/>
  </r>
  <r>
    <s v="B-26526"/>
    <n v="2727"/>
    <n v="543"/>
    <n v="10"/>
    <x v="2"/>
    <s v="Bookcases"/>
    <x v="3"/>
    <d v="2024-12-05T00:00:00"/>
    <s v="Sabrina Buckley"/>
    <x v="2"/>
    <s v="Rochester"/>
    <x v="1"/>
    <n v="19.911991199119914"/>
  </r>
  <r>
    <s v="B-25819"/>
    <n v="2589"/>
    <n v="605"/>
    <n v="11"/>
    <x v="1"/>
    <s v="Pens"/>
    <x v="2"/>
    <d v="2023-11-02T00:00:00"/>
    <s v="Robert Rojas"/>
    <x v="3"/>
    <s v="San Francisco"/>
    <x v="6"/>
    <n v="23.368095789880265"/>
  </r>
  <r>
    <s v="B-25819"/>
    <n v="2589"/>
    <n v="605"/>
    <n v="11"/>
    <x v="1"/>
    <s v="Pens"/>
    <x v="2"/>
    <d v="2024-10-05T00:00:00"/>
    <s v="Eric Johnson"/>
    <x v="5"/>
    <s v="Cleveland"/>
    <x v="56"/>
    <n v="23.368095789880265"/>
  </r>
  <r>
    <s v="B-25698"/>
    <n v="3776"/>
    <n v="1100"/>
    <n v="9"/>
    <x v="0"/>
    <s v="Electronic Games"/>
    <x v="2"/>
    <d v="2022-11-13T00:00:00"/>
    <s v="Heather Parker"/>
    <x v="4"/>
    <s v="Austin"/>
    <x v="5"/>
    <n v="29.131355932203391"/>
  </r>
  <r>
    <s v="B-25698"/>
    <n v="3776"/>
    <n v="1100"/>
    <n v="9"/>
    <x v="0"/>
    <s v="Electronic Games"/>
    <x v="2"/>
    <d v="2022-12-28T00:00:00"/>
    <s v="Thomas Matthews"/>
    <x v="1"/>
    <s v="Peoria"/>
    <x v="29"/>
    <n v="29.131355932203391"/>
  </r>
  <r>
    <s v="B-26820"/>
    <n v="5402"/>
    <n v="1666"/>
    <n v="12"/>
    <x v="2"/>
    <s v="Bookcases"/>
    <x v="2"/>
    <d v="2025-02-26T00:00:00"/>
    <s v="Kimberly Beard"/>
    <x v="5"/>
    <s v="Cleveland"/>
    <x v="9"/>
    <n v="30.840429470566455"/>
  </r>
  <r>
    <s v="B-25396"/>
    <n v="5165"/>
    <n v="885"/>
    <n v="16"/>
    <x v="1"/>
    <s v="Pens"/>
    <x v="2"/>
    <d v="2022-11-12T00:00:00"/>
    <s v="Lydia Donovan"/>
    <x v="1"/>
    <s v="Peoria"/>
    <x v="5"/>
    <n v="17.134559535333977"/>
  </r>
  <r>
    <s v="B-25396"/>
    <n v="4863"/>
    <n v="2394"/>
    <n v="4"/>
    <x v="2"/>
    <s v="Bookcases"/>
    <x v="2"/>
    <d v="2022-11-12T00:00:00"/>
    <s v="Lydia Donovan"/>
    <x v="1"/>
    <s v="Peoria"/>
    <x v="5"/>
    <n v="49.228871067242444"/>
  </r>
  <r>
    <s v="B-25529"/>
    <n v="1626"/>
    <n v="258"/>
    <n v="15"/>
    <x v="1"/>
    <s v="Pens"/>
    <x v="2"/>
    <d v="2021-06-07T00:00:00"/>
    <s v="Edward Johnson"/>
    <x v="0"/>
    <s v="Orlando"/>
    <x v="22"/>
    <n v="15.867158671586715"/>
  </r>
  <r>
    <s v="B-26501"/>
    <n v="8851"/>
    <n v="3962"/>
    <n v="7"/>
    <x v="2"/>
    <s v="Tables"/>
    <x v="2"/>
    <d v="2020-09-26T00:00:00"/>
    <s v="Ricky Smith"/>
    <x v="0"/>
    <s v="Miami"/>
    <x v="57"/>
    <n v="44.763303581516212"/>
  </r>
  <r>
    <s v="B-26910"/>
    <n v="9680"/>
    <n v="3295"/>
    <n v="9"/>
    <x v="2"/>
    <s v="Tables"/>
    <x v="4"/>
    <d v="2024-04-29T00:00:00"/>
    <s v="Mr. Ralph Garcia Jr."/>
    <x v="2"/>
    <s v="Rochester"/>
    <x v="44"/>
    <n v="34.039256198347104"/>
  </r>
  <r>
    <s v="B-26910"/>
    <n v="8468"/>
    <n v="3666"/>
    <n v="8"/>
    <x v="1"/>
    <s v="Pens"/>
    <x v="0"/>
    <d v="2024-04-29T00:00:00"/>
    <s v="Mr. Ralph Garcia Jr."/>
    <x v="2"/>
    <s v="Rochester"/>
    <x v="44"/>
    <n v="43.292394898441188"/>
  </r>
  <r>
    <s v="B-26910"/>
    <n v="4441"/>
    <n v="314"/>
    <n v="14"/>
    <x v="2"/>
    <s v="Chairs"/>
    <x v="1"/>
    <d v="2024-04-29T00:00:00"/>
    <s v="Mr. Ralph Garcia Jr."/>
    <x v="2"/>
    <s v="Rochester"/>
    <x v="44"/>
    <n v="7.0704796217068226"/>
  </r>
  <r>
    <s v="B-25978"/>
    <n v="6622"/>
    <n v="2673"/>
    <n v="8"/>
    <x v="2"/>
    <s v="Sofas"/>
    <x v="4"/>
    <d v="2024-04-10T00:00:00"/>
    <s v="Malik Walker"/>
    <x v="2"/>
    <s v="New York City"/>
    <x v="44"/>
    <n v="40.365448504983384"/>
  </r>
  <r>
    <s v="B-26537"/>
    <n v="3260"/>
    <n v="207"/>
    <n v="17"/>
    <x v="2"/>
    <s v="Tables"/>
    <x v="0"/>
    <d v="2023-12-21T00:00:00"/>
    <s v="Tanya Walker"/>
    <x v="3"/>
    <s v="San Diego"/>
    <x v="16"/>
    <n v="6.3496932515337416"/>
  </r>
  <r>
    <s v="B-25881"/>
    <n v="8709"/>
    <n v="2322"/>
    <n v="8"/>
    <x v="2"/>
    <s v="Tables"/>
    <x v="1"/>
    <d v="2024-05-02T00:00:00"/>
    <s v="Sherri Ferguson DVM"/>
    <x v="4"/>
    <s v="Austin"/>
    <x v="3"/>
    <n v="26.662073716844642"/>
  </r>
  <r>
    <s v="B-25881"/>
    <n v="8709"/>
    <n v="2322"/>
    <n v="8"/>
    <x v="2"/>
    <s v="Tables"/>
    <x v="1"/>
    <d v="2024-11-21T00:00:00"/>
    <s v="Kristin Hart"/>
    <x v="3"/>
    <s v="San Francisco"/>
    <x v="46"/>
    <n v="26.662073716844642"/>
  </r>
  <r>
    <s v="B-25237"/>
    <n v="5250"/>
    <n v="187"/>
    <n v="1"/>
    <x v="1"/>
    <s v="Binders"/>
    <x v="4"/>
    <d v="2022-03-17T00:00:00"/>
    <s v="Jim Johnson"/>
    <x v="5"/>
    <s v="Cincinnati"/>
    <x v="25"/>
    <n v="3.5619047619047621"/>
  </r>
  <r>
    <s v="B-25237"/>
    <n v="5250"/>
    <n v="187"/>
    <n v="1"/>
    <x v="1"/>
    <s v="Binders"/>
    <x v="4"/>
    <d v="2023-05-14T00:00:00"/>
    <s v="David Hamilton"/>
    <x v="4"/>
    <s v="Houston"/>
    <x v="23"/>
    <n v="3.5619047619047621"/>
  </r>
  <r>
    <s v="B-26122"/>
    <n v="4116"/>
    <n v="921"/>
    <n v="20"/>
    <x v="1"/>
    <s v="Paper"/>
    <x v="0"/>
    <d v="2024-10-07T00:00:00"/>
    <s v="Michael Jimenez"/>
    <x v="3"/>
    <s v="Los Angeles"/>
    <x v="56"/>
    <n v="22.376093294460642"/>
  </r>
  <r>
    <s v="B-26122"/>
    <n v="4116"/>
    <n v="921"/>
    <n v="20"/>
    <x v="1"/>
    <s v="Paper"/>
    <x v="0"/>
    <d v="2020-09-08T00:00:00"/>
    <s v="Angela Norman"/>
    <x v="1"/>
    <s v="Springfield"/>
    <x v="57"/>
    <n v="22.376093294460642"/>
  </r>
  <r>
    <s v="B-25709"/>
    <n v="1109"/>
    <n v="418"/>
    <n v="15"/>
    <x v="1"/>
    <s v="Paper"/>
    <x v="0"/>
    <d v="2021-08-19T00:00:00"/>
    <s v="Denise Mcdaniel"/>
    <x v="3"/>
    <s v="Los Angeles"/>
    <x v="36"/>
    <n v="37.691614066726778"/>
  </r>
  <r>
    <s v="B-26656"/>
    <n v="3573"/>
    <n v="562"/>
    <n v="7"/>
    <x v="1"/>
    <s v="Pens"/>
    <x v="2"/>
    <d v="2022-10-12T00:00:00"/>
    <s v="Michael Rodriguez"/>
    <x v="2"/>
    <s v="Rochester"/>
    <x v="15"/>
    <n v="15.729079205149734"/>
  </r>
  <r>
    <s v="B-26656"/>
    <n v="3573"/>
    <n v="562"/>
    <n v="7"/>
    <x v="1"/>
    <s v="Pens"/>
    <x v="2"/>
    <d v="2020-05-23T00:00:00"/>
    <s v="Matthew Huff"/>
    <x v="3"/>
    <s v="San Diego"/>
    <x v="8"/>
    <n v="15.729079205149734"/>
  </r>
  <r>
    <s v="B-26656"/>
    <n v="3573"/>
    <n v="562"/>
    <n v="7"/>
    <x v="1"/>
    <s v="Pens"/>
    <x v="2"/>
    <d v="2020-04-18T00:00:00"/>
    <s v="Linda Little"/>
    <x v="0"/>
    <s v="Tampa"/>
    <x v="32"/>
    <n v="15.729079205149734"/>
  </r>
  <r>
    <s v="B-26656"/>
    <n v="8055"/>
    <n v="661"/>
    <n v="10"/>
    <x v="0"/>
    <s v="Phones"/>
    <x v="2"/>
    <d v="2022-10-12T00:00:00"/>
    <s v="Michael Rodriguez"/>
    <x v="2"/>
    <s v="Rochester"/>
    <x v="15"/>
    <n v="8.2060831781502177"/>
  </r>
  <r>
    <s v="B-26656"/>
    <n v="8055"/>
    <n v="661"/>
    <n v="10"/>
    <x v="0"/>
    <s v="Phones"/>
    <x v="2"/>
    <d v="2020-05-23T00:00:00"/>
    <s v="Matthew Huff"/>
    <x v="3"/>
    <s v="San Diego"/>
    <x v="8"/>
    <n v="8.2060831781502177"/>
  </r>
  <r>
    <s v="B-26656"/>
    <n v="8055"/>
    <n v="661"/>
    <n v="10"/>
    <x v="0"/>
    <s v="Phones"/>
    <x v="2"/>
    <d v="2020-04-18T00:00:00"/>
    <s v="Linda Little"/>
    <x v="0"/>
    <s v="Tampa"/>
    <x v="32"/>
    <n v="8.2060831781502177"/>
  </r>
  <r>
    <s v="B-25801"/>
    <n v="6829"/>
    <n v="2609"/>
    <n v="2"/>
    <x v="0"/>
    <s v="Laptops"/>
    <x v="2"/>
    <d v="2022-06-04T00:00:00"/>
    <s v="Kerri Andrews"/>
    <x v="3"/>
    <s v="San Francisco"/>
    <x v="33"/>
    <n v="38.204715185239415"/>
  </r>
  <r>
    <s v="B-25801"/>
    <n v="6390"/>
    <n v="3089"/>
    <n v="12"/>
    <x v="1"/>
    <s v="Paper"/>
    <x v="4"/>
    <d v="2022-06-04T00:00:00"/>
    <s v="Kerri Andrews"/>
    <x v="3"/>
    <s v="San Francisco"/>
    <x v="33"/>
    <n v="48.341158059467922"/>
  </r>
  <r>
    <s v="B-25006"/>
    <n v="5831"/>
    <n v="1574"/>
    <n v="17"/>
    <x v="1"/>
    <s v="Pens"/>
    <x v="1"/>
    <d v="2022-11-16T00:00:00"/>
    <s v="Jeffrey Johnson III"/>
    <x v="3"/>
    <s v="San Francisco"/>
    <x v="5"/>
    <n v="26.993654604699024"/>
  </r>
  <r>
    <s v="B-25006"/>
    <n v="5831"/>
    <n v="1574"/>
    <n v="17"/>
    <x v="1"/>
    <s v="Pens"/>
    <x v="1"/>
    <d v="2024-07-18T00:00:00"/>
    <s v="Daniel Dixon"/>
    <x v="3"/>
    <s v="San Diego"/>
    <x v="41"/>
    <n v="26.993654604699024"/>
  </r>
  <r>
    <s v="B-25006"/>
    <n v="5831"/>
    <n v="1574"/>
    <n v="17"/>
    <x v="1"/>
    <s v="Pens"/>
    <x v="1"/>
    <d v="2023-07-16T00:00:00"/>
    <s v="Tiffany Robinson"/>
    <x v="0"/>
    <s v="Miami"/>
    <x v="17"/>
    <n v="26.993654604699024"/>
  </r>
  <r>
    <s v="B-26106"/>
    <n v="7952"/>
    <n v="3865"/>
    <n v="8"/>
    <x v="2"/>
    <s v="Sofas"/>
    <x v="1"/>
    <d v="2020-08-10T00:00:00"/>
    <s v="Mr. Gregg Sawyer"/>
    <x v="1"/>
    <s v="Peoria"/>
    <x v="38"/>
    <n v="48.604124748490946"/>
  </r>
  <r>
    <s v="B-25789"/>
    <n v="3659"/>
    <n v="379"/>
    <n v="5"/>
    <x v="2"/>
    <s v="Bookcases"/>
    <x v="0"/>
    <d v="2024-06-22T00:00:00"/>
    <s v="John Silva"/>
    <x v="3"/>
    <s v="Los Angeles"/>
    <x v="47"/>
    <n v="10.358021317299809"/>
  </r>
  <r>
    <s v="B-26292"/>
    <n v="4183"/>
    <n v="1159"/>
    <n v="4"/>
    <x v="1"/>
    <s v="Pens"/>
    <x v="1"/>
    <d v="2020-07-13T00:00:00"/>
    <s v="Nathan Moss"/>
    <x v="1"/>
    <s v="Springfield"/>
    <x v="60"/>
    <n v="27.707387042792252"/>
  </r>
  <r>
    <s v="B-25895"/>
    <n v="7478"/>
    <n v="1381"/>
    <n v="11"/>
    <x v="0"/>
    <s v="Phones"/>
    <x v="2"/>
    <d v="2024-04-16T00:00:00"/>
    <s v="Donald Medina"/>
    <x v="4"/>
    <s v="Houston"/>
    <x v="44"/>
    <n v="18.467504680395827"/>
  </r>
  <r>
    <s v="B-25813"/>
    <n v="702"/>
    <n v="238"/>
    <n v="9"/>
    <x v="0"/>
    <s v="Phones"/>
    <x v="4"/>
    <d v="2021-03-13T00:00:00"/>
    <s v="Charles Henderson"/>
    <x v="0"/>
    <s v="Tampa"/>
    <x v="34"/>
    <n v="33.903133903133906"/>
  </r>
  <r>
    <s v="B-26863"/>
    <n v="4037"/>
    <n v="1494"/>
    <n v="15"/>
    <x v="2"/>
    <s v="Chairs"/>
    <x v="2"/>
    <d v="2023-04-01T00:00:00"/>
    <s v="Brenda Davis"/>
    <x v="3"/>
    <s v="San Francisco"/>
    <x v="28"/>
    <n v="37.007678969531831"/>
  </r>
  <r>
    <s v="B-25759"/>
    <n v="5014"/>
    <n v="2332"/>
    <n v="2"/>
    <x v="2"/>
    <s v="Chairs"/>
    <x v="4"/>
    <d v="2020-11-10T00:00:00"/>
    <s v="Leah Calderon"/>
    <x v="1"/>
    <s v="Chicago"/>
    <x v="11"/>
    <n v="46.50977263661747"/>
  </r>
  <r>
    <s v="B-26357"/>
    <n v="9879"/>
    <n v="4930"/>
    <n v="15"/>
    <x v="0"/>
    <s v="Laptops"/>
    <x v="1"/>
    <d v="2023-06-08T00:00:00"/>
    <s v="Brandi Vasquez"/>
    <x v="2"/>
    <s v="Rochester"/>
    <x v="0"/>
    <n v="49.903836420690354"/>
  </r>
  <r>
    <s v="B-26819"/>
    <n v="8762"/>
    <n v="3502"/>
    <n v="1"/>
    <x v="0"/>
    <s v="Phones"/>
    <x v="1"/>
    <d v="2021-08-17T00:00:00"/>
    <s v="Debra Richards"/>
    <x v="0"/>
    <s v="Tampa"/>
    <x v="36"/>
    <n v="39.968043825610586"/>
  </r>
  <r>
    <s v="B-25502"/>
    <n v="8490"/>
    <n v="800"/>
    <n v="1"/>
    <x v="1"/>
    <s v="Pens"/>
    <x v="2"/>
    <d v="2020-05-24T00:00:00"/>
    <s v="Tammy Day"/>
    <x v="2"/>
    <s v="New York City"/>
    <x v="8"/>
    <n v="9.422850412249705"/>
  </r>
  <r>
    <s v="B-25258"/>
    <n v="6951"/>
    <n v="164"/>
    <n v="10"/>
    <x v="2"/>
    <s v="Sofas"/>
    <x v="0"/>
    <d v="2021-08-12T00:00:00"/>
    <s v="Sheila Clay"/>
    <x v="2"/>
    <s v="Buffalo"/>
    <x v="36"/>
    <n v="2.3593727521219967"/>
  </r>
  <r>
    <s v="B-26878"/>
    <n v="1078"/>
    <n v="309"/>
    <n v="3"/>
    <x v="0"/>
    <s v="Phones"/>
    <x v="3"/>
    <d v="2022-09-03T00:00:00"/>
    <s v="Nicholas Flores"/>
    <x v="5"/>
    <s v="Cleveland"/>
    <x v="24"/>
    <n v="28.664192949907235"/>
  </r>
  <r>
    <s v="B-26878"/>
    <n v="1078"/>
    <n v="309"/>
    <n v="3"/>
    <x v="0"/>
    <s v="Phones"/>
    <x v="3"/>
    <d v="2020-10-01T00:00:00"/>
    <s v="Jasmin Jones"/>
    <x v="1"/>
    <s v="Chicago"/>
    <x v="20"/>
    <n v="28.664192949907235"/>
  </r>
  <r>
    <s v="B-25170"/>
    <n v="8560"/>
    <n v="2166"/>
    <n v="19"/>
    <x v="1"/>
    <s v="Binders"/>
    <x v="2"/>
    <d v="2022-05-27T00:00:00"/>
    <s v="Matthew Gardner"/>
    <x v="0"/>
    <s v="Tampa"/>
    <x v="37"/>
    <n v="25.303738317757009"/>
  </r>
  <r>
    <s v="B-25170"/>
    <n v="1031"/>
    <n v="318"/>
    <n v="20"/>
    <x v="0"/>
    <s v="Electronic Games"/>
    <x v="0"/>
    <d v="2022-05-27T00:00:00"/>
    <s v="Matthew Gardner"/>
    <x v="0"/>
    <s v="Tampa"/>
    <x v="37"/>
    <n v="30.843840931134821"/>
  </r>
  <r>
    <s v="B-26842"/>
    <n v="6402"/>
    <n v="2770"/>
    <n v="19"/>
    <x v="1"/>
    <s v="Markers"/>
    <x v="1"/>
    <d v="2024-03-10T00:00:00"/>
    <s v="Joseph Perkins"/>
    <x v="0"/>
    <s v="Orlando"/>
    <x v="55"/>
    <n v="43.267728834739145"/>
  </r>
  <r>
    <s v="B-26842"/>
    <n v="6402"/>
    <n v="2770"/>
    <n v="19"/>
    <x v="1"/>
    <s v="Markers"/>
    <x v="1"/>
    <d v="2023-10-05T00:00:00"/>
    <s v="Ashley Adams MD"/>
    <x v="0"/>
    <s v="Orlando"/>
    <x v="59"/>
    <n v="43.267728834739145"/>
  </r>
  <r>
    <s v="B-26842"/>
    <n v="5916"/>
    <n v="1594"/>
    <n v="19"/>
    <x v="0"/>
    <s v="Printers"/>
    <x v="1"/>
    <d v="2024-03-10T00:00:00"/>
    <s v="Joseph Perkins"/>
    <x v="0"/>
    <s v="Orlando"/>
    <x v="55"/>
    <n v="26.943881000676136"/>
  </r>
  <r>
    <s v="B-26842"/>
    <n v="5916"/>
    <n v="1594"/>
    <n v="19"/>
    <x v="0"/>
    <s v="Printers"/>
    <x v="1"/>
    <d v="2023-10-05T00:00:00"/>
    <s v="Ashley Adams MD"/>
    <x v="0"/>
    <s v="Orlando"/>
    <x v="59"/>
    <n v="26.943881000676136"/>
  </r>
  <r>
    <s v="B-26599"/>
    <n v="4015"/>
    <n v="1751"/>
    <n v="15"/>
    <x v="2"/>
    <s v="Chairs"/>
    <x v="1"/>
    <d v="2022-08-28T00:00:00"/>
    <s v="Cheryl Stevens"/>
    <x v="3"/>
    <s v="San Francisco"/>
    <x v="40"/>
    <n v="43.611457036114572"/>
  </r>
  <r>
    <s v="B-26599"/>
    <n v="4015"/>
    <n v="1751"/>
    <n v="15"/>
    <x v="2"/>
    <s v="Chairs"/>
    <x v="1"/>
    <d v="2020-09-08T00:00:00"/>
    <s v="Jorge George"/>
    <x v="2"/>
    <s v="New York City"/>
    <x v="57"/>
    <n v="43.611457036114572"/>
  </r>
  <r>
    <s v="B-25705"/>
    <n v="9335"/>
    <n v="557"/>
    <n v="11"/>
    <x v="0"/>
    <s v="Electronic Games"/>
    <x v="4"/>
    <d v="2021-04-27T00:00:00"/>
    <s v="Ann Mooney"/>
    <x v="3"/>
    <s v="Los Angeles"/>
    <x v="27"/>
    <n v="5.9667916443492235"/>
  </r>
  <r>
    <s v="B-26366"/>
    <n v="4706"/>
    <n v="594"/>
    <n v="11"/>
    <x v="1"/>
    <s v="Binders"/>
    <x v="4"/>
    <d v="2021-08-21T00:00:00"/>
    <s v="James Mendoza"/>
    <x v="5"/>
    <s v="Cleveland"/>
    <x v="36"/>
    <n v="12.622184445388864"/>
  </r>
  <r>
    <s v="B-26366"/>
    <n v="4706"/>
    <n v="594"/>
    <n v="11"/>
    <x v="1"/>
    <s v="Binders"/>
    <x v="4"/>
    <d v="2021-05-16T00:00:00"/>
    <s v="Kaitlin Garrison"/>
    <x v="5"/>
    <s v="Columbus"/>
    <x v="18"/>
    <n v="12.622184445388864"/>
  </r>
  <r>
    <s v="B-26366"/>
    <n v="6584"/>
    <n v="371"/>
    <n v="6"/>
    <x v="1"/>
    <s v="Markers"/>
    <x v="0"/>
    <d v="2021-08-21T00:00:00"/>
    <s v="James Mendoza"/>
    <x v="5"/>
    <s v="Cleveland"/>
    <x v="36"/>
    <n v="5.6348724179829892"/>
  </r>
  <r>
    <s v="B-26366"/>
    <n v="6584"/>
    <n v="371"/>
    <n v="6"/>
    <x v="1"/>
    <s v="Markers"/>
    <x v="0"/>
    <d v="2021-05-16T00:00:00"/>
    <s v="Kaitlin Garrison"/>
    <x v="5"/>
    <s v="Columbus"/>
    <x v="18"/>
    <n v="5.6348724179829892"/>
  </r>
  <r>
    <s v="B-26116"/>
    <n v="6389"/>
    <n v="734"/>
    <n v="1"/>
    <x v="2"/>
    <s v="Sofas"/>
    <x v="2"/>
    <d v="2022-01-15T00:00:00"/>
    <s v="Jeremy Jackson"/>
    <x v="4"/>
    <s v="Dallas"/>
    <x v="12"/>
    <n v="11.488495852246047"/>
  </r>
  <r>
    <s v="B-26443"/>
    <n v="9869"/>
    <n v="4299"/>
    <n v="12"/>
    <x v="0"/>
    <s v="Printers"/>
    <x v="1"/>
    <d v="2023-03-21T00:00:00"/>
    <s v="Dale Craig"/>
    <x v="3"/>
    <s v="San Diego"/>
    <x v="45"/>
    <n v="43.560644442192725"/>
  </r>
  <r>
    <s v="B-26443"/>
    <n v="9869"/>
    <n v="4299"/>
    <n v="12"/>
    <x v="0"/>
    <s v="Printers"/>
    <x v="1"/>
    <d v="2023-12-28T00:00:00"/>
    <s v="Joseph Hooper"/>
    <x v="2"/>
    <s v="Buffalo"/>
    <x v="16"/>
    <n v="43.560644442192725"/>
  </r>
  <r>
    <s v="B-25955"/>
    <n v="655"/>
    <n v="297"/>
    <n v="4"/>
    <x v="1"/>
    <s v="Markers"/>
    <x v="1"/>
    <d v="2022-02-15T00:00:00"/>
    <s v="Alexander Adams"/>
    <x v="2"/>
    <s v="Buffalo"/>
    <x v="26"/>
    <n v="45.343511450381676"/>
  </r>
  <r>
    <s v="B-25955"/>
    <n v="655"/>
    <n v="297"/>
    <n v="4"/>
    <x v="1"/>
    <s v="Markers"/>
    <x v="1"/>
    <d v="2023-11-30T00:00:00"/>
    <s v="Ashlee Mills"/>
    <x v="0"/>
    <s v="Orlando"/>
    <x v="6"/>
    <n v="45.343511450381676"/>
  </r>
  <r>
    <s v="B-26383"/>
    <n v="798"/>
    <n v="308"/>
    <n v="10"/>
    <x v="0"/>
    <s v="Phones"/>
    <x v="1"/>
    <d v="2023-01-12T00:00:00"/>
    <s v="Brittany Jenkins"/>
    <x v="2"/>
    <s v="Buffalo"/>
    <x v="54"/>
    <n v="38.596491228070171"/>
  </r>
  <r>
    <s v="B-26383"/>
    <n v="798"/>
    <n v="308"/>
    <n v="10"/>
    <x v="0"/>
    <s v="Phones"/>
    <x v="1"/>
    <d v="2023-05-19T00:00:00"/>
    <s v="Eddie Gonzales"/>
    <x v="5"/>
    <s v="Cleveland"/>
    <x v="23"/>
    <n v="38.596491228070171"/>
  </r>
  <r>
    <s v="B-26383"/>
    <n v="7967"/>
    <n v="2504"/>
    <n v="13"/>
    <x v="0"/>
    <s v="Printers"/>
    <x v="2"/>
    <d v="2023-01-12T00:00:00"/>
    <s v="Brittany Jenkins"/>
    <x v="2"/>
    <s v="Buffalo"/>
    <x v="54"/>
    <n v="31.429647295092256"/>
  </r>
  <r>
    <s v="B-26383"/>
    <n v="7967"/>
    <n v="2504"/>
    <n v="13"/>
    <x v="0"/>
    <s v="Printers"/>
    <x v="2"/>
    <d v="2023-05-19T00:00:00"/>
    <s v="Eddie Gonzales"/>
    <x v="5"/>
    <s v="Cleveland"/>
    <x v="23"/>
    <n v="31.429647295092256"/>
  </r>
  <r>
    <s v="B-26999"/>
    <n v="3756"/>
    <n v="1318"/>
    <n v="5"/>
    <x v="2"/>
    <s v="Tables"/>
    <x v="0"/>
    <d v="2024-02-19T00:00:00"/>
    <s v="Edward Valencia"/>
    <x v="0"/>
    <s v="Miami"/>
    <x v="42"/>
    <n v="35.090521831735884"/>
  </r>
  <r>
    <s v="B-26712"/>
    <n v="5196"/>
    <n v="2477"/>
    <n v="1"/>
    <x v="1"/>
    <s v="Markers"/>
    <x v="0"/>
    <d v="2021-12-01T00:00:00"/>
    <s v="Emma Bruce"/>
    <x v="4"/>
    <s v="Austin"/>
    <x v="13"/>
    <n v="47.671285604311009"/>
  </r>
  <r>
    <s v="B-26712"/>
    <n v="6586"/>
    <n v="1794"/>
    <n v="19"/>
    <x v="2"/>
    <s v="Bookcases"/>
    <x v="1"/>
    <d v="2021-12-01T00:00:00"/>
    <s v="Emma Bruce"/>
    <x v="4"/>
    <s v="Austin"/>
    <x v="13"/>
    <n v="27.239599149711509"/>
  </r>
  <r>
    <s v="B-26066"/>
    <n v="6673"/>
    <n v="950"/>
    <n v="19"/>
    <x v="1"/>
    <s v="Markers"/>
    <x v="2"/>
    <d v="2024-12-19T00:00:00"/>
    <s v="Carl Wade DDS"/>
    <x v="2"/>
    <s v="Buffalo"/>
    <x v="1"/>
    <n v="14.236475348419003"/>
  </r>
  <r>
    <s v="B-25996"/>
    <n v="714"/>
    <n v="232"/>
    <n v="14"/>
    <x v="2"/>
    <s v="Tables"/>
    <x v="0"/>
    <d v="2023-01-18T00:00:00"/>
    <s v="Brandon Alvarado"/>
    <x v="5"/>
    <s v="Columbus"/>
    <x v="54"/>
    <n v="32.49299719887955"/>
  </r>
  <r>
    <s v="B-25996"/>
    <n v="714"/>
    <n v="232"/>
    <n v="14"/>
    <x v="2"/>
    <s v="Tables"/>
    <x v="0"/>
    <d v="2020-12-23T00:00:00"/>
    <s v="Jennifer Clark"/>
    <x v="4"/>
    <s v="Austin"/>
    <x v="50"/>
    <n v="32.49299719887955"/>
  </r>
  <r>
    <s v="B-26924"/>
    <n v="1083"/>
    <n v="501"/>
    <n v="6"/>
    <x v="1"/>
    <s v="Pens"/>
    <x v="4"/>
    <d v="2021-02-28T00:00:00"/>
    <s v="David Johnson"/>
    <x v="4"/>
    <s v="Austin"/>
    <x v="51"/>
    <n v="46.260387811634352"/>
  </r>
  <r>
    <s v="B-25541"/>
    <n v="2401"/>
    <n v="1163"/>
    <n v="10"/>
    <x v="2"/>
    <s v="Bookcases"/>
    <x v="0"/>
    <d v="2023-05-04T00:00:00"/>
    <s v="April Marquez"/>
    <x v="5"/>
    <s v="Cleveland"/>
    <x v="23"/>
    <n v="48.438150770512287"/>
  </r>
  <r>
    <s v="B-25541"/>
    <n v="2401"/>
    <n v="1163"/>
    <n v="10"/>
    <x v="2"/>
    <s v="Bookcases"/>
    <x v="0"/>
    <d v="2020-04-22T00:00:00"/>
    <s v="Joseph Guerrero"/>
    <x v="3"/>
    <s v="Los Angeles"/>
    <x v="32"/>
    <n v="48.438150770512287"/>
  </r>
  <r>
    <s v="B-25541"/>
    <n v="2401"/>
    <n v="1163"/>
    <n v="10"/>
    <x v="2"/>
    <s v="Bookcases"/>
    <x v="0"/>
    <d v="2021-08-13T00:00:00"/>
    <s v="Michael Hanson"/>
    <x v="2"/>
    <s v="Rochester"/>
    <x v="36"/>
    <n v="48.438150770512287"/>
  </r>
  <r>
    <s v="B-25541"/>
    <n v="1045"/>
    <n v="267"/>
    <n v="11"/>
    <x v="0"/>
    <s v="Phones"/>
    <x v="1"/>
    <d v="2023-05-04T00:00:00"/>
    <s v="April Marquez"/>
    <x v="5"/>
    <s v="Cleveland"/>
    <x v="23"/>
    <n v="25.550239234449762"/>
  </r>
  <r>
    <s v="B-25541"/>
    <n v="1045"/>
    <n v="267"/>
    <n v="11"/>
    <x v="0"/>
    <s v="Phones"/>
    <x v="1"/>
    <d v="2020-04-22T00:00:00"/>
    <s v="Joseph Guerrero"/>
    <x v="3"/>
    <s v="Los Angeles"/>
    <x v="32"/>
    <n v="25.550239234449762"/>
  </r>
  <r>
    <s v="B-25541"/>
    <n v="1045"/>
    <n v="267"/>
    <n v="11"/>
    <x v="0"/>
    <s v="Phones"/>
    <x v="1"/>
    <d v="2021-08-13T00:00:00"/>
    <s v="Michael Hanson"/>
    <x v="2"/>
    <s v="Rochester"/>
    <x v="36"/>
    <n v="25.550239234449762"/>
  </r>
  <r>
    <s v="B-25196"/>
    <n v="7806"/>
    <n v="1127"/>
    <n v="1"/>
    <x v="1"/>
    <s v="Markers"/>
    <x v="3"/>
    <d v="2023-07-20T00:00:00"/>
    <s v="William Hill"/>
    <x v="4"/>
    <s v="Dallas"/>
    <x v="17"/>
    <n v="14.437612093261592"/>
  </r>
  <r>
    <s v="B-25855"/>
    <n v="5263"/>
    <n v="1743"/>
    <n v="19"/>
    <x v="2"/>
    <s v="Sofas"/>
    <x v="3"/>
    <d v="2022-08-28T00:00:00"/>
    <s v="Kelsey Huber"/>
    <x v="0"/>
    <s v="Miami"/>
    <x v="40"/>
    <n v="33.117993539806193"/>
  </r>
  <r>
    <s v="B-25071"/>
    <n v="6147"/>
    <n v="2526"/>
    <n v="6"/>
    <x v="1"/>
    <s v="Pens"/>
    <x v="1"/>
    <d v="2023-03-14T00:00:00"/>
    <s v="Hailey Chandler"/>
    <x v="4"/>
    <s v="Dallas"/>
    <x v="45"/>
    <n v="41.093216203025868"/>
  </r>
  <r>
    <s v="B-26159"/>
    <n v="7484"/>
    <n v="2871"/>
    <n v="15"/>
    <x v="0"/>
    <s v="Phones"/>
    <x v="0"/>
    <d v="2023-11-07T00:00:00"/>
    <s v="Cheyenne Rose"/>
    <x v="0"/>
    <s v="Orlando"/>
    <x v="6"/>
    <n v="38.361838588989841"/>
  </r>
  <r>
    <s v="B-26159"/>
    <n v="7484"/>
    <n v="2871"/>
    <n v="15"/>
    <x v="0"/>
    <s v="Phones"/>
    <x v="0"/>
    <d v="2024-04-16T00:00:00"/>
    <s v="Richard Petersen"/>
    <x v="1"/>
    <s v="Chicago"/>
    <x v="44"/>
    <n v="38.361838588989841"/>
  </r>
  <r>
    <s v="B-26159"/>
    <n v="7700"/>
    <n v="2712"/>
    <n v="1"/>
    <x v="2"/>
    <s v="Sofas"/>
    <x v="3"/>
    <d v="2023-11-07T00:00:00"/>
    <s v="Cheyenne Rose"/>
    <x v="0"/>
    <s v="Orlando"/>
    <x v="6"/>
    <n v="35.220779220779221"/>
  </r>
  <r>
    <s v="B-26159"/>
    <n v="7700"/>
    <n v="2712"/>
    <n v="1"/>
    <x v="2"/>
    <s v="Sofas"/>
    <x v="3"/>
    <d v="2024-04-16T00:00:00"/>
    <s v="Richard Petersen"/>
    <x v="1"/>
    <s v="Chicago"/>
    <x v="44"/>
    <n v="35.220779220779221"/>
  </r>
  <r>
    <s v="B-26228"/>
    <n v="8537"/>
    <n v="3586"/>
    <n v="13"/>
    <x v="1"/>
    <s v="Markers"/>
    <x v="0"/>
    <d v="2022-09-16T00:00:00"/>
    <s v="Kathryn Gray"/>
    <x v="2"/>
    <s v="Rochester"/>
    <x v="24"/>
    <n v="42.005388309710675"/>
  </r>
  <r>
    <s v="B-25888"/>
    <n v="8858"/>
    <n v="3394"/>
    <n v="6"/>
    <x v="2"/>
    <s v="Chairs"/>
    <x v="4"/>
    <d v="2024-10-31T00:00:00"/>
    <s v="Victor Collins"/>
    <x v="3"/>
    <s v="San Diego"/>
    <x v="56"/>
    <n v="38.315646872883271"/>
  </r>
  <r>
    <s v="B-25574"/>
    <n v="5313"/>
    <n v="2037"/>
    <n v="7"/>
    <x v="0"/>
    <s v="Printers"/>
    <x v="1"/>
    <d v="2024-11-25T00:00:00"/>
    <s v="Jason Hernandez"/>
    <x v="3"/>
    <s v="San Francisco"/>
    <x v="46"/>
    <n v="38.339920948616601"/>
  </r>
  <r>
    <s v="B-25574"/>
    <n v="5313"/>
    <n v="2037"/>
    <n v="7"/>
    <x v="0"/>
    <s v="Printers"/>
    <x v="1"/>
    <d v="2021-10-29T00:00:00"/>
    <s v="Jacob Torres"/>
    <x v="4"/>
    <s v="Houston"/>
    <x v="4"/>
    <n v="38.339920948616601"/>
  </r>
  <r>
    <s v="B-26938"/>
    <n v="3281"/>
    <n v="471"/>
    <n v="7"/>
    <x v="2"/>
    <s v="Sofas"/>
    <x v="2"/>
    <d v="2023-12-27T00:00:00"/>
    <s v="Erin Hernandez"/>
    <x v="3"/>
    <s v="Los Angeles"/>
    <x v="16"/>
    <n v="14.355379457482476"/>
  </r>
  <r>
    <s v="B-26938"/>
    <n v="3281"/>
    <n v="471"/>
    <n v="7"/>
    <x v="2"/>
    <s v="Sofas"/>
    <x v="2"/>
    <d v="2023-06-25T00:00:00"/>
    <s v="Jacob Guzman"/>
    <x v="1"/>
    <s v="Peoria"/>
    <x v="0"/>
    <n v="14.355379457482476"/>
  </r>
  <r>
    <s v="B-26379"/>
    <n v="8681"/>
    <n v="2458"/>
    <n v="9"/>
    <x v="1"/>
    <s v="Pens"/>
    <x v="3"/>
    <d v="2020-09-01T00:00:00"/>
    <s v="Mike Armstrong"/>
    <x v="2"/>
    <s v="New York City"/>
    <x v="57"/>
    <n v="28.314710286833318"/>
  </r>
  <r>
    <s v="B-26623"/>
    <n v="6195"/>
    <n v="1556"/>
    <n v="18"/>
    <x v="2"/>
    <s v="Sofas"/>
    <x v="2"/>
    <d v="2025-02-01T00:00:00"/>
    <s v="Cindy Rowland"/>
    <x v="1"/>
    <s v="Springfield"/>
    <x v="9"/>
    <n v="25.117029862792574"/>
  </r>
  <r>
    <s v="B-25566"/>
    <n v="3877"/>
    <n v="481"/>
    <n v="16"/>
    <x v="2"/>
    <s v="Chairs"/>
    <x v="1"/>
    <d v="2023-07-22T00:00:00"/>
    <s v="Kenneth Matthews"/>
    <x v="2"/>
    <s v="Rochester"/>
    <x v="17"/>
    <n v="12.406499871034304"/>
  </r>
  <r>
    <s v="B-25566"/>
    <n v="3877"/>
    <n v="481"/>
    <n v="16"/>
    <x v="2"/>
    <s v="Chairs"/>
    <x v="1"/>
    <d v="2022-02-04T00:00:00"/>
    <s v="Susan Valdez"/>
    <x v="2"/>
    <s v="New York City"/>
    <x v="26"/>
    <n v="12.406499871034304"/>
  </r>
  <r>
    <s v="B-26740"/>
    <n v="9369"/>
    <n v="3297"/>
    <n v="6"/>
    <x v="0"/>
    <s v="Printers"/>
    <x v="1"/>
    <d v="2023-09-27T00:00:00"/>
    <s v="Stephanie Manning"/>
    <x v="0"/>
    <s v="Orlando"/>
    <x v="48"/>
    <n v="35.190521934037783"/>
  </r>
  <r>
    <s v="B-26740"/>
    <n v="9369"/>
    <n v="3297"/>
    <n v="6"/>
    <x v="0"/>
    <s v="Printers"/>
    <x v="1"/>
    <d v="2025-01-30T00:00:00"/>
    <s v="Logan Galloway"/>
    <x v="2"/>
    <s v="New York City"/>
    <x v="52"/>
    <n v="35.190521934037783"/>
  </r>
  <r>
    <s v="B-26740"/>
    <n v="8680"/>
    <n v="4068"/>
    <n v="20"/>
    <x v="0"/>
    <s v="Printers"/>
    <x v="3"/>
    <d v="2023-09-27T00:00:00"/>
    <s v="Stephanie Manning"/>
    <x v="0"/>
    <s v="Orlando"/>
    <x v="48"/>
    <n v="46.866359447004605"/>
  </r>
  <r>
    <s v="B-26740"/>
    <n v="8680"/>
    <n v="4068"/>
    <n v="20"/>
    <x v="0"/>
    <s v="Printers"/>
    <x v="3"/>
    <d v="2025-01-30T00:00:00"/>
    <s v="Logan Galloway"/>
    <x v="2"/>
    <s v="New York City"/>
    <x v="52"/>
    <n v="46.866359447004605"/>
  </r>
  <r>
    <s v="B-26740"/>
    <n v="3067"/>
    <n v="1475"/>
    <n v="8"/>
    <x v="0"/>
    <s v="Laptops"/>
    <x v="0"/>
    <d v="2023-09-27T00:00:00"/>
    <s v="Stephanie Manning"/>
    <x v="0"/>
    <s v="Orlando"/>
    <x v="48"/>
    <n v="48.09259863058363"/>
  </r>
  <r>
    <s v="B-26740"/>
    <n v="3067"/>
    <n v="1475"/>
    <n v="8"/>
    <x v="0"/>
    <s v="Laptops"/>
    <x v="0"/>
    <d v="2025-01-30T00:00:00"/>
    <s v="Logan Galloway"/>
    <x v="2"/>
    <s v="New York City"/>
    <x v="52"/>
    <n v="48.09259863058363"/>
  </r>
  <r>
    <s v="B-25024"/>
    <n v="9002"/>
    <n v="4197"/>
    <n v="2"/>
    <x v="1"/>
    <s v="Markers"/>
    <x v="2"/>
    <d v="2025-01-15T00:00:00"/>
    <s v="Christopher Stone"/>
    <x v="5"/>
    <s v="Cincinnati"/>
    <x v="52"/>
    <n v="46.622972672739394"/>
  </r>
  <r>
    <s v="B-25024"/>
    <n v="9002"/>
    <n v="4197"/>
    <n v="2"/>
    <x v="1"/>
    <s v="Markers"/>
    <x v="2"/>
    <d v="2021-03-28T00:00:00"/>
    <s v="Megan Pitts"/>
    <x v="5"/>
    <s v="Columbus"/>
    <x v="34"/>
    <n v="46.622972672739394"/>
  </r>
  <r>
    <s v="B-26367"/>
    <n v="7105"/>
    <n v="2782"/>
    <n v="19"/>
    <x v="1"/>
    <s v="Pens"/>
    <x v="4"/>
    <d v="2021-12-25T00:00:00"/>
    <s v="Richard Gardner"/>
    <x v="5"/>
    <s v="Columbus"/>
    <x v="13"/>
    <n v="39.155524278676992"/>
  </r>
  <r>
    <s v="B-26353"/>
    <n v="5317"/>
    <n v="1345"/>
    <n v="18"/>
    <x v="2"/>
    <s v="Chairs"/>
    <x v="1"/>
    <d v="2023-02-03T00:00:00"/>
    <s v="Samuel Moore"/>
    <x v="5"/>
    <s v="Columbus"/>
    <x v="14"/>
    <n v="25.296219672747789"/>
  </r>
  <r>
    <s v="B-26353"/>
    <n v="5317"/>
    <n v="1345"/>
    <n v="18"/>
    <x v="2"/>
    <s v="Chairs"/>
    <x v="1"/>
    <d v="2023-04-28T00:00:00"/>
    <s v="Robert Stokes"/>
    <x v="0"/>
    <s v="Orlando"/>
    <x v="28"/>
    <n v="25.296219672747789"/>
  </r>
  <r>
    <s v="B-26353"/>
    <n v="5317"/>
    <n v="1345"/>
    <n v="18"/>
    <x v="2"/>
    <s v="Chairs"/>
    <x v="1"/>
    <d v="2024-11-22T00:00:00"/>
    <s v="Danielle Ramirez"/>
    <x v="3"/>
    <s v="San Francisco"/>
    <x v="46"/>
    <n v="25.296219672747789"/>
  </r>
  <r>
    <s v="B-26353"/>
    <n v="6304"/>
    <n v="766"/>
    <n v="14"/>
    <x v="2"/>
    <s v="Tables"/>
    <x v="2"/>
    <d v="2023-02-03T00:00:00"/>
    <s v="Samuel Moore"/>
    <x v="5"/>
    <s v="Columbus"/>
    <x v="14"/>
    <n v="12.151015228426395"/>
  </r>
  <r>
    <s v="B-26353"/>
    <n v="6304"/>
    <n v="766"/>
    <n v="14"/>
    <x v="2"/>
    <s v="Tables"/>
    <x v="2"/>
    <d v="2023-04-28T00:00:00"/>
    <s v="Robert Stokes"/>
    <x v="0"/>
    <s v="Orlando"/>
    <x v="28"/>
    <n v="12.151015228426395"/>
  </r>
  <r>
    <s v="B-26353"/>
    <n v="6304"/>
    <n v="766"/>
    <n v="14"/>
    <x v="2"/>
    <s v="Tables"/>
    <x v="2"/>
    <d v="2024-11-22T00:00:00"/>
    <s v="Danielle Ramirez"/>
    <x v="3"/>
    <s v="San Francisco"/>
    <x v="46"/>
    <n v="12.151015228426395"/>
  </r>
  <r>
    <s v="B-25742"/>
    <n v="9565"/>
    <n v="1691"/>
    <n v="3"/>
    <x v="1"/>
    <s v="Paper"/>
    <x v="1"/>
    <d v="2024-07-02T00:00:00"/>
    <s v="Taylor White"/>
    <x v="1"/>
    <s v="Springfield"/>
    <x v="41"/>
    <n v="17.679038159958179"/>
  </r>
  <r>
    <s v="B-25742"/>
    <n v="8245"/>
    <n v="324"/>
    <n v="11"/>
    <x v="1"/>
    <s v="Paper"/>
    <x v="2"/>
    <d v="2024-07-02T00:00:00"/>
    <s v="Taylor White"/>
    <x v="1"/>
    <s v="Springfield"/>
    <x v="41"/>
    <n v="3.9296543359611884"/>
  </r>
  <r>
    <s v="B-26965"/>
    <n v="1592"/>
    <n v="480"/>
    <n v="13"/>
    <x v="0"/>
    <s v="Laptops"/>
    <x v="1"/>
    <d v="2022-01-18T00:00:00"/>
    <s v="Jordan Krause"/>
    <x v="5"/>
    <s v="Cleveland"/>
    <x v="12"/>
    <n v="30.150753768844218"/>
  </r>
  <r>
    <s v="B-26038"/>
    <n v="8400"/>
    <n v="267"/>
    <n v="5"/>
    <x v="0"/>
    <s v="Phones"/>
    <x v="1"/>
    <d v="2024-10-08T00:00:00"/>
    <s v="Kimberly King"/>
    <x v="5"/>
    <s v="Columbus"/>
    <x v="56"/>
    <n v="3.1785714285714284"/>
  </r>
  <r>
    <s v="B-26038"/>
    <n v="4963"/>
    <n v="1254"/>
    <n v="15"/>
    <x v="1"/>
    <s v="Paper"/>
    <x v="2"/>
    <d v="2024-10-08T00:00:00"/>
    <s v="Kimberly King"/>
    <x v="5"/>
    <s v="Columbus"/>
    <x v="56"/>
    <n v="25.26697561958493"/>
  </r>
  <r>
    <s v="B-25317"/>
    <n v="2472"/>
    <n v="211"/>
    <n v="5"/>
    <x v="0"/>
    <s v="Printers"/>
    <x v="4"/>
    <d v="2020-06-21T00:00:00"/>
    <s v="Sharon Russell"/>
    <x v="3"/>
    <s v="San Diego"/>
    <x v="53"/>
    <n v="8.5355987055016183"/>
  </r>
  <r>
    <s v="B-25970"/>
    <n v="9132"/>
    <n v="3096"/>
    <n v="14"/>
    <x v="2"/>
    <s v="Chairs"/>
    <x v="1"/>
    <d v="2023-12-14T00:00:00"/>
    <s v="Kevin Cooper"/>
    <x v="0"/>
    <s v="Tampa"/>
    <x v="16"/>
    <n v="33.902759526938233"/>
  </r>
  <r>
    <s v="B-25590"/>
    <n v="8305"/>
    <n v="1577"/>
    <n v="6"/>
    <x v="1"/>
    <s v="Binders"/>
    <x v="1"/>
    <d v="2020-12-16T00:00:00"/>
    <s v="Darrell Ramos"/>
    <x v="2"/>
    <s v="Rochester"/>
    <x v="50"/>
    <n v="18.988561107766404"/>
  </r>
  <r>
    <s v="B-25580"/>
    <n v="1010"/>
    <n v="58"/>
    <n v="19"/>
    <x v="0"/>
    <s v="Electronic Games"/>
    <x v="4"/>
    <d v="2025-03-15T00:00:00"/>
    <s v="Dr. Terry Alvarado"/>
    <x v="0"/>
    <s v="Tampa"/>
    <x v="30"/>
    <n v="5.7425742574257432"/>
  </r>
  <r>
    <s v="B-25443"/>
    <n v="4544"/>
    <n v="1726"/>
    <n v="9"/>
    <x v="0"/>
    <s v="Phones"/>
    <x v="2"/>
    <d v="2024-08-21T00:00:00"/>
    <s v="Kathy Wilson"/>
    <x v="4"/>
    <s v="Dallas"/>
    <x v="19"/>
    <n v="37.984154929577464"/>
  </r>
  <r>
    <s v="B-25443"/>
    <n v="5900"/>
    <n v="1738"/>
    <n v="20"/>
    <x v="0"/>
    <s v="Phones"/>
    <x v="0"/>
    <d v="2024-08-21T00:00:00"/>
    <s v="Kathy Wilson"/>
    <x v="4"/>
    <s v="Dallas"/>
    <x v="19"/>
    <n v="29.457627118644069"/>
  </r>
  <r>
    <s v="B-25774"/>
    <n v="8861"/>
    <n v="3381"/>
    <n v="19"/>
    <x v="1"/>
    <s v="Markers"/>
    <x v="3"/>
    <d v="2021-05-27T00:00:00"/>
    <s v="Brandon Le"/>
    <x v="3"/>
    <s v="San Diego"/>
    <x v="18"/>
    <n v="38.15596433811082"/>
  </r>
  <r>
    <s v="B-26505"/>
    <n v="8158"/>
    <n v="2052"/>
    <n v="13"/>
    <x v="0"/>
    <s v="Phones"/>
    <x v="1"/>
    <d v="2020-09-21T00:00:00"/>
    <s v="Mary Wright"/>
    <x v="5"/>
    <s v="Cincinnati"/>
    <x v="57"/>
    <n v="25.153223829369942"/>
  </r>
  <r>
    <s v="B-25163"/>
    <n v="3411"/>
    <n v="1704"/>
    <n v="14"/>
    <x v="1"/>
    <s v="Pens"/>
    <x v="0"/>
    <d v="2025-01-11T00:00:00"/>
    <s v="Douglas Reynolds"/>
    <x v="3"/>
    <s v="Los Angeles"/>
    <x v="52"/>
    <n v="49.95602462620932"/>
  </r>
  <r>
    <s v="B-26095"/>
    <n v="9406"/>
    <n v="1137"/>
    <n v="16"/>
    <x v="1"/>
    <s v="Markers"/>
    <x v="0"/>
    <d v="2021-10-20T00:00:00"/>
    <s v="Leroy Harris"/>
    <x v="4"/>
    <s v="Houston"/>
    <x v="4"/>
    <n v="12.088028917712098"/>
  </r>
  <r>
    <s v="B-26095"/>
    <n v="1156"/>
    <n v="74"/>
    <n v="15"/>
    <x v="0"/>
    <s v="Printers"/>
    <x v="2"/>
    <d v="2021-10-20T00:00:00"/>
    <s v="Leroy Harris"/>
    <x v="4"/>
    <s v="Houston"/>
    <x v="4"/>
    <n v="6.4013840830449826"/>
  </r>
  <r>
    <s v="B-25768"/>
    <n v="5354"/>
    <n v="743"/>
    <n v="10"/>
    <x v="2"/>
    <s v="Bookcases"/>
    <x v="0"/>
    <d v="2021-10-19T00:00:00"/>
    <s v="Ricardo Dixon"/>
    <x v="1"/>
    <s v="Springfield"/>
    <x v="4"/>
    <n v="13.877474785207323"/>
  </r>
  <r>
    <s v="B-25328"/>
    <n v="8780"/>
    <n v="3430"/>
    <n v="4"/>
    <x v="0"/>
    <s v="Electronic Games"/>
    <x v="3"/>
    <d v="2024-07-07T00:00:00"/>
    <s v="Debra Smith"/>
    <x v="4"/>
    <s v="Austin"/>
    <x v="41"/>
    <n v="39.066059225512525"/>
  </r>
  <r>
    <s v="B-25328"/>
    <n v="8780"/>
    <n v="3430"/>
    <n v="4"/>
    <x v="0"/>
    <s v="Electronic Games"/>
    <x v="3"/>
    <d v="2023-07-25T00:00:00"/>
    <s v="Jasmine James"/>
    <x v="4"/>
    <s v="Austin"/>
    <x v="17"/>
    <n v="39.066059225512525"/>
  </r>
  <r>
    <s v="B-26573"/>
    <n v="6783"/>
    <n v="3306"/>
    <n v="8"/>
    <x v="2"/>
    <s v="Sofas"/>
    <x v="1"/>
    <d v="2020-04-16T00:00:00"/>
    <s v="Felicia Morton"/>
    <x v="5"/>
    <s v="Columbus"/>
    <x v="32"/>
    <n v="48.739495798319325"/>
  </r>
  <r>
    <s v="B-25138"/>
    <n v="1778"/>
    <n v="285"/>
    <n v="4"/>
    <x v="1"/>
    <s v="Pens"/>
    <x v="3"/>
    <d v="2020-07-04T00:00:00"/>
    <s v="Sylvia Jenkins"/>
    <x v="2"/>
    <s v="New York City"/>
    <x v="60"/>
    <n v="16.029246344206975"/>
  </r>
  <r>
    <s v="B-26803"/>
    <n v="9399"/>
    <n v="1949"/>
    <n v="12"/>
    <x v="0"/>
    <s v="Printers"/>
    <x v="0"/>
    <d v="2022-05-16T00:00:00"/>
    <s v="Elizabeth White"/>
    <x v="2"/>
    <s v="Rochester"/>
    <x v="37"/>
    <n v="20.736248537078414"/>
  </r>
  <r>
    <s v="B-26803"/>
    <n v="7957"/>
    <n v="965"/>
    <n v="4"/>
    <x v="2"/>
    <s v="Sofas"/>
    <x v="3"/>
    <d v="2022-05-16T00:00:00"/>
    <s v="Elizabeth White"/>
    <x v="2"/>
    <s v="Rochester"/>
    <x v="37"/>
    <n v="12.127686313937414"/>
  </r>
  <r>
    <s v="B-25101"/>
    <n v="1638"/>
    <n v="661"/>
    <n v="13"/>
    <x v="2"/>
    <s v="Chairs"/>
    <x v="2"/>
    <d v="2023-11-25T00:00:00"/>
    <s v="Steven Steele"/>
    <x v="1"/>
    <s v="Springfield"/>
    <x v="6"/>
    <n v="40.354090354090353"/>
  </r>
  <r>
    <s v="B-25827"/>
    <n v="1786"/>
    <n v="224"/>
    <n v="4"/>
    <x v="2"/>
    <s v="Tables"/>
    <x v="4"/>
    <d v="2021-08-17T00:00:00"/>
    <s v="Amanda Ramirez"/>
    <x v="4"/>
    <s v="Dallas"/>
    <x v="36"/>
    <n v="12.541993281075028"/>
  </r>
  <r>
    <s v="B-25792"/>
    <n v="4751"/>
    <n v="781"/>
    <n v="9"/>
    <x v="1"/>
    <s v="Paper"/>
    <x v="2"/>
    <d v="2023-07-02T00:00:00"/>
    <s v="Kyle Jackson"/>
    <x v="2"/>
    <s v="Buffalo"/>
    <x v="17"/>
    <n v="16.438644495895602"/>
  </r>
  <r>
    <s v="B-25646"/>
    <n v="8979"/>
    <n v="4477"/>
    <n v="4"/>
    <x v="1"/>
    <s v="Paper"/>
    <x v="3"/>
    <d v="2020-08-24T00:00:00"/>
    <s v="Sharon Wilkins"/>
    <x v="1"/>
    <s v="Chicago"/>
    <x v="38"/>
    <n v="49.86078627909567"/>
  </r>
  <r>
    <s v="B-25043"/>
    <n v="2727"/>
    <n v="663"/>
    <n v="8"/>
    <x v="0"/>
    <s v="Phones"/>
    <x v="3"/>
    <d v="2022-11-07T00:00:00"/>
    <s v="Austin Hammond"/>
    <x v="0"/>
    <s v="Miami"/>
    <x v="5"/>
    <n v="24.312431243124312"/>
  </r>
  <r>
    <s v="B-26598"/>
    <n v="1093"/>
    <n v="397"/>
    <n v="17"/>
    <x v="0"/>
    <s v="Printers"/>
    <x v="3"/>
    <d v="2024-03-27T00:00:00"/>
    <s v="Jessica Barajas"/>
    <x v="1"/>
    <s v="Peoria"/>
    <x v="55"/>
    <n v="36.322049405306494"/>
  </r>
  <r>
    <s v="B-26598"/>
    <n v="1093"/>
    <n v="397"/>
    <n v="17"/>
    <x v="0"/>
    <s v="Printers"/>
    <x v="3"/>
    <d v="2024-09-01T00:00:00"/>
    <s v="Jamie Jimenez"/>
    <x v="2"/>
    <s v="Buffalo"/>
    <x v="31"/>
    <n v="36.322049405306494"/>
  </r>
  <r>
    <s v="B-26598"/>
    <n v="1093"/>
    <n v="397"/>
    <n v="17"/>
    <x v="0"/>
    <s v="Printers"/>
    <x v="3"/>
    <d v="2022-02-22T00:00:00"/>
    <s v="James Carter"/>
    <x v="5"/>
    <s v="Columbus"/>
    <x v="26"/>
    <n v="36.322049405306494"/>
  </r>
  <r>
    <s v="B-26598"/>
    <n v="2636"/>
    <n v="88"/>
    <n v="11"/>
    <x v="1"/>
    <s v="Paper"/>
    <x v="1"/>
    <d v="2024-03-27T00:00:00"/>
    <s v="Jessica Barajas"/>
    <x v="1"/>
    <s v="Peoria"/>
    <x v="55"/>
    <n v="3.3383915022761759"/>
  </r>
  <r>
    <s v="B-26598"/>
    <n v="2636"/>
    <n v="88"/>
    <n v="11"/>
    <x v="1"/>
    <s v="Paper"/>
    <x v="1"/>
    <d v="2024-09-01T00:00:00"/>
    <s v="Jamie Jimenez"/>
    <x v="2"/>
    <s v="Buffalo"/>
    <x v="31"/>
    <n v="3.3383915022761759"/>
  </r>
  <r>
    <s v="B-26598"/>
    <n v="2636"/>
    <n v="88"/>
    <n v="11"/>
    <x v="1"/>
    <s v="Paper"/>
    <x v="1"/>
    <d v="2022-02-22T00:00:00"/>
    <s v="James Carter"/>
    <x v="5"/>
    <s v="Columbus"/>
    <x v="26"/>
    <n v="3.3383915022761759"/>
  </r>
  <r>
    <s v="B-26643"/>
    <n v="7344"/>
    <n v="2251"/>
    <n v="7"/>
    <x v="0"/>
    <s v="Electronic Games"/>
    <x v="1"/>
    <d v="2022-02-11T00:00:00"/>
    <s v="John Williams"/>
    <x v="0"/>
    <s v="Miami"/>
    <x v="26"/>
    <n v="30.65087145969499"/>
  </r>
  <r>
    <s v="B-26643"/>
    <n v="7306"/>
    <n v="1547"/>
    <n v="3"/>
    <x v="1"/>
    <s v="Paper"/>
    <x v="4"/>
    <d v="2022-02-11T00:00:00"/>
    <s v="John Williams"/>
    <x v="0"/>
    <s v="Miami"/>
    <x v="26"/>
    <n v="21.17437722419929"/>
  </r>
  <r>
    <s v="B-26643"/>
    <n v="5832"/>
    <n v="2588"/>
    <n v="10"/>
    <x v="0"/>
    <s v="Printers"/>
    <x v="4"/>
    <d v="2022-02-11T00:00:00"/>
    <s v="John Williams"/>
    <x v="0"/>
    <s v="Miami"/>
    <x v="26"/>
    <n v="44.375857338820303"/>
  </r>
  <r>
    <s v="B-25992"/>
    <n v="8572"/>
    <n v="2041"/>
    <n v="8"/>
    <x v="2"/>
    <s v="Tables"/>
    <x v="2"/>
    <d v="2021-05-27T00:00:00"/>
    <s v="Alicia Oneill"/>
    <x v="1"/>
    <s v="Springfield"/>
    <x v="18"/>
    <n v="23.810079328044797"/>
  </r>
  <r>
    <s v="B-25992"/>
    <n v="8572"/>
    <n v="2041"/>
    <n v="8"/>
    <x v="2"/>
    <s v="Tables"/>
    <x v="2"/>
    <d v="2023-07-05T00:00:00"/>
    <s v="Rebecca Huff"/>
    <x v="1"/>
    <s v="Springfield"/>
    <x v="17"/>
    <n v="23.810079328044797"/>
  </r>
  <r>
    <s v="B-25992"/>
    <n v="8572"/>
    <n v="2041"/>
    <n v="8"/>
    <x v="2"/>
    <s v="Tables"/>
    <x v="2"/>
    <d v="2020-10-27T00:00:00"/>
    <s v="Diana Scott"/>
    <x v="3"/>
    <s v="San Diego"/>
    <x v="20"/>
    <n v="23.810079328044797"/>
  </r>
  <r>
    <s v="B-25992"/>
    <n v="8059"/>
    <n v="1834"/>
    <n v="10"/>
    <x v="0"/>
    <s v="Printers"/>
    <x v="3"/>
    <d v="2021-05-27T00:00:00"/>
    <s v="Alicia Oneill"/>
    <x v="1"/>
    <s v="Springfield"/>
    <x v="18"/>
    <n v="22.757165901476608"/>
  </r>
  <r>
    <s v="B-25992"/>
    <n v="8059"/>
    <n v="1834"/>
    <n v="10"/>
    <x v="0"/>
    <s v="Printers"/>
    <x v="3"/>
    <d v="2023-07-05T00:00:00"/>
    <s v="Rebecca Huff"/>
    <x v="1"/>
    <s v="Springfield"/>
    <x v="17"/>
    <n v="22.757165901476608"/>
  </r>
  <r>
    <s v="B-25992"/>
    <n v="8059"/>
    <n v="1834"/>
    <n v="10"/>
    <x v="0"/>
    <s v="Printers"/>
    <x v="3"/>
    <d v="2020-10-27T00:00:00"/>
    <s v="Diana Scott"/>
    <x v="3"/>
    <s v="San Diego"/>
    <x v="20"/>
    <n v="22.757165901476608"/>
  </r>
  <r>
    <s v="B-25532"/>
    <n v="3661"/>
    <n v="436"/>
    <n v="13"/>
    <x v="2"/>
    <s v="Sofas"/>
    <x v="2"/>
    <d v="2023-01-26T00:00:00"/>
    <s v="Brian Young"/>
    <x v="4"/>
    <s v="Austin"/>
    <x v="54"/>
    <n v="11.90931439497405"/>
  </r>
  <r>
    <s v="B-25564"/>
    <n v="2451"/>
    <n v="342"/>
    <n v="8"/>
    <x v="1"/>
    <s v="Paper"/>
    <x v="2"/>
    <d v="2021-09-06T00:00:00"/>
    <s v="Susan Wright"/>
    <x v="3"/>
    <s v="Los Angeles"/>
    <x v="43"/>
    <n v="13.953488372093023"/>
  </r>
  <r>
    <s v="B-25564"/>
    <n v="2451"/>
    <n v="342"/>
    <n v="8"/>
    <x v="1"/>
    <s v="Paper"/>
    <x v="2"/>
    <d v="2021-11-12T00:00:00"/>
    <s v="Kayla Banks"/>
    <x v="5"/>
    <s v="Cincinnati"/>
    <x v="35"/>
    <n v="13.953488372093023"/>
  </r>
  <r>
    <s v="B-25564"/>
    <n v="2451"/>
    <n v="342"/>
    <n v="8"/>
    <x v="1"/>
    <s v="Paper"/>
    <x v="2"/>
    <d v="2024-07-30T00:00:00"/>
    <s v="Zachary Pierce"/>
    <x v="4"/>
    <s v="Houston"/>
    <x v="41"/>
    <n v="13.953488372093023"/>
  </r>
  <r>
    <s v="B-26543"/>
    <n v="7067"/>
    <n v="1943"/>
    <n v="16"/>
    <x v="2"/>
    <s v="Tables"/>
    <x v="3"/>
    <d v="2022-03-15T00:00:00"/>
    <s v="Nicolas Owen"/>
    <x v="3"/>
    <s v="San Francisco"/>
    <x v="25"/>
    <n v="27.493986132729585"/>
  </r>
  <r>
    <s v="B-25976"/>
    <n v="4307"/>
    <n v="615"/>
    <n v="3"/>
    <x v="0"/>
    <s v="Electronic Games"/>
    <x v="0"/>
    <d v="2024-03-15T00:00:00"/>
    <s v="Martha Carney"/>
    <x v="2"/>
    <s v="New York City"/>
    <x v="55"/>
    <n v="14.279080566519619"/>
  </r>
  <r>
    <s v="B-25976"/>
    <n v="4307"/>
    <n v="615"/>
    <n v="3"/>
    <x v="0"/>
    <s v="Electronic Games"/>
    <x v="0"/>
    <d v="2020-11-10T00:00:00"/>
    <s v="Francisco Hicks"/>
    <x v="1"/>
    <s v="Springfield"/>
    <x v="11"/>
    <n v="14.279080566519619"/>
  </r>
  <r>
    <s v="B-25976"/>
    <n v="5694"/>
    <n v="1134"/>
    <n v="5"/>
    <x v="2"/>
    <s v="Chairs"/>
    <x v="2"/>
    <d v="2024-03-15T00:00:00"/>
    <s v="Martha Carney"/>
    <x v="2"/>
    <s v="New York City"/>
    <x v="55"/>
    <n v="19.915700737618547"/>
  </r>
  <r>
    <s v="B-25976"/>
    <n v="5694"/>
    <n v="1134"/>
    <n v="5"/>
    <x v="2"/>
    <s v="Chairs"/>
    <x v="2"/>
    <d v="2020-11-10T00:00:00"/>
    <s v="Francisco Hicks"/>
    <x v="1"/>
    <s v="Springfield"/>
    <x v="11"/>
    <n v="19.915700737618547"/>
  </r>
  <r>
    <s v="B-25929"/>
    <n v="962"/>
    <n v="298"/>
    <n v="18"/>
    <x v="1"/>
    <s v="Binders"/>
    <x v="3"/>
    <d v="2022-07-23T00:00:00"/>
    <s v="Matthew Parker"/>
    <x v="1"/>
    <s v="Springfield"/>
    <x v="58"/>
    <n v="30.97713097713098"/>
  </r>
  <r>
    <s v="B-25497"/>
    <n v="2995"/>
    <n v="220"/>
    <n v="14"/>
    <x v="2"/>
    <s v="Bookcases"/>
    <x v="3"/>
    <d v="2024-09-13T00:00:00"/>
    <s v="Paul Bryant"/>
    <x v="2"/>
    <s v="Buffalo"/>
    <x v="31"/>
    <n v="7.345575959933222"/>
  </r>
  <r>
    <s v="B-25497"/>
    <n v="2047"/>
    <n v="914"/>
    <n v="5"/>
    <x v="1"/>
    <s v="Markers"/>
    <x v="1"/>
    <d v="2024-09-13T00:00:00"/>
    <s v="Paul Bryant"/>
    <x v="2"/>
    <s v="Buffalo"/>
    <x v="31"/>
    <n v="44.650708353688323"/>
  </r>
  <r>
    <s v="B-26735"/>
    <n v="2078"/>
    <n v="612"/>
    <n v="6"/>
    <x v="0"/>
    <s v="Laptops"/>
    <x v="4"/>
    <d v="2022-01-25T00:00:00"/>
    <s v="Bruce Dennis"/>
    <x v="4"/>
    <s v="Austin"/>
    <x v="12"/>
    <n v="29.451395572666023"/>
  </r>
  <r>
    <s v="B-25036"/>
    <n v="2737"/>
    <n v="1253"/>
    <n v="3"/>
    <x v="0"/>
    <s v="Printers"/>
    <x v="2"/>
    <d v="2021-04-19T00:00:00"/>
    <s v="Joseph Bates"/>
    <x v="2"/>
    <s v="New York City"/>
    <x v="27"/>
    <n v="45.78005115089514"/>
  </r>
  <r>
    <s v="B-25971"/>
    <n v="8194"/>
    <n v="2881"/>
    <n v="6"/>
    <x v="1"/>
    <s v="Paper"/>
    <x v="1"/>
    <d v="2021-07-18T00:00:00"/>
    <s v="Kelly Pacheco"/>
    <x v="4"/>
    <s v="Houston"/>
    <x v="2"/>
    <n v="35.159873077861853"/>
  </r>
  <r>
    <s v="B-25441"/>
    <n v="9914"/>
    <n v="3858"/>
    <n v="16"/>
    <x v="2"/>
    <s v="Sofas"/>
    <x v="3"/>
    <d v="2022-06-24T00:00:00"/>
    <s v="Jeffrey Weber"/>
    <x v="2"/>
    <s v="Buffalo"/>
    <x v="33"/>
    <n v="38.914666128706884"/>
  </r>
  <r>
    <s v="B-25441"/>
    <n v="9914"/>
    <n v="3858"/>
    <n v="16"/>
    <x v="2"/>
    <s v="Sofas"/>
    <x v="3"/>
    <d v="2024-06-08T00:00:00"/>
    <s v="Andrew Krueger"/>
    <x v="2"/>
    <s v="Rochester"/>
    <x v="47"/>
    <n v="38.914666128706884"/>
  </r>
  <r>
    <s v="B-25441"/>
    <n v="5470"/>
    <n v="292"/>
    <n v="7"/>
    <x v="1"/>
    <s v="Pens"/>
    <x v="1"/>
    <d v="2022-06-24T00:00:00"/>
    <s v="Jeffrey Weber"/>
    <x v="2"/>
    <s v="Buffalo"/>
    <x v="33"/>
    <n v="5.3382084095063984"/>
  </r>
  <r>
    <s v="B-25441"/>
    <n v="5470"/>
    <n v="292"/>
    <n v="7"/>
    <x v="1"/>
    <s v="Pens"/>
    <x v="1"/>
    <d v="2024-06-08T00:00:00"/>
    <s v="Andrew Krueger"/>
    <x v="2"/>
    <s v="Rochester"/>
    <x v="47"/>
    <n v="5.3382084095063984"/>
  </r>
  <r>
    <s v="B-25441"/>
    <n v="1496"/>
    <n v="662"/>
    <n v="17"/>
    <x v="2"/>
    <s v="Bookcases"/>
    <x v="0"/>
    <d v="2022-06-24T00:00:00"/>
    <s v="Jeffrey Weber"/>
    <x v="2"/>
    <s v="Buffalo"/>
    <x v="33"/>
    <n v="44.251336898395721"/>
  </r>
  <r>
    <s v="B-25441"/>
    <n v="1496"/>
    <n v="662"/>
    <n v="17"/>
    <x v="2"/>
    <s v="Bookcases"/>
    <x v="0"/>
    <d v="2024-06-08T00:00:00"/>
    <s v="Andrew Krueger"/>
    <x v="2"/>
    <s v="Rochester"/>
    <x v="47"/>
    <n v="44.251336898395721"/>
  </r>
  <r>
    <s v="B-25823"/>
    <n v="3228"/>
    <n v="476"/>
    <n v="9"/>
    <x v="1"/>
    <s v="Paper"/>
    <x v="4"/>
    <d v="2022-09-29T00:00:00"/>
    <s v="Kathleen Cox"/>
    <x v="2"/>
    <s v="New York City"/>
    <x v="24"/>
    <n v="14.745972738537795"/>
  </r>
  <r>
    <s v="B-25363"/>
    <n v="3918"/>
    <n v="749"/>
    <n v="8"/>
    <x v="0"/>
    <s v="Laptops"/>
    <x v="3"/>
    <d v="2023-05-10T00:00:00"/>
    <s v="Jamie Bradley"/>
    <x v="3"/>
    <s v="San Diego"/>
    <x v="23"/>
    <n v="19.116896375701888"/>
  </r>
  <r>
    <s v="B-25363"/>
    <n v="3918"/>
    <n v="749"/>
    <n v="8"/>
    <x v="0"/>
    <s v="Laptops"/>
    <x v="3"/>
    <d v="2020-05-02T00:00:00"/>
    <s v="Robert Martinez"/>
    <x v="4"/>
    <s v="Houston"/>
    <x v="8"/>
    <n v="19.116896375701888"/>
  </r>
  <r>
    <s v="B-26445"/>
    <n v="9921"/>
    <n v="1451"/>
    <n v="15"/>
    <x v="2"/>
    <s v="Sofas"/>
    <x v="2"/>
    <d v="2021-04-12T00:00:00"/>
    <s v="Christopher Rogers"/>
    <x v="1"/>
    <s v="Chicago"/>
    <x v="27"/>
    <n v="14.625541780062493"/>
  </r>
  <r>
    <s v="B-26724"/>
    <n v="9694"/>
    <n v="4361"/>
    <n v="1"/>
    <x v="2"/>
    <s v="Chairs"/>
    <x v="2"/>
    <d v="2023-11-04T00:00:00"/>
    <s v="Roberto Parrish"/>
    <x v="1"/>
    <s v="Springfield"/>
    <x v="6"/>
    <n v="44.986589643078197"/>
  </r>
  <r>
    <s v="B-25447"/>
    <n v="5028"/>
    <n v="1553"/>
    <n v="13"/>
    <x v="1"/>
    <s v="Paper"/>
    <x v="2"/>
    <d v="2020-05-04T00:00:00"/>
    <s v="Amber Kennedy"/>
    <x v="0"/>
    <s v="Tampa"/>
    <x v="8"/>
    <n v="30.887032617342879"/>
  </r>
  <r>
    <s v="B-26904"/>
    <n v="594"/>
    <n v="67"/>
    <n v="19"/>
    <x v="1"/>
    <s v="Paper"/>
    <x v="1"/>
    <d v="2023-09-10T00:00:00"/>
    <s v="Maria Davis"/>
    <x v="2"/>
    <s v="Buffalo"/>
    <x v="48"/>
    <n v="11.27946127946128"/>
  </r>
  <r>
    <s v="B-26904"/>
    <n v="594"/>
    <n v="67"/>
    <n v="19"/>
    <x v="1"/>
    <s v="Paper"/>
    <x v="1"/>
    <d v="2024-01-05T00:00:00"/>
    <s v="Terry Gilbert"/>
    <x v="0"/>
    <s v="Miami"/>
    <x v="10"/>
    <n v="11.27946127946128"/>
  </r>
  <r>
    <s v="B-26904"/>
    <n v="594"/>
    <n v="67"/>
    <n v="19"/>
    <x v="1"/>
    <s v="Paper"/>
    <x v="1"/>
    <d v="2024-05-08T00:00:00"/>
    <s v="Devon Schmitt"/>
    <x v="4"/>
    <s v="Austin"/>
    <x v="3"/>
    <n v="11.27946127946128"/>
  </r>
  <r>
    <s v="B-26456"/>
    <n v="5954"/>
    <n v="2618"/>
    <n v="11"/>
    <x v="2"/>
    <s v="Tables"/>
    <x v="4"/>
    <d v="2024-03-30T00:00:00"/>
    <s v="Robert Mosley"/>
    <x v="5"/>
    <s v="Cincinnati"/>
    <x v="55"/>
    <n v="43.970440040309036"/>
  </r>
  <r>
    <s v="B-25435"/>
    <n v="3518"/>
    <n v="1051"/>
    <n v="3"/>
    <x v="2"/>
    <s v="Bookcases"/>
    <x v="0"/>
    <d v="2020-09-10T00:00:00"/>
    <s v="Paul Scott"/>
    <x v="3"/>
    <s v="San Francisco"/>
    <x v="57"/>
    <n v="29.874928936895962"/>
  </r>
  <r>
    <s v="B-25435"/>
    <n v="4157"/>
    <n v="1874"/>
    <n v="8"/>
    <x v="0"/>
    <s v="Laptops"/>
    <x v="2"/>
    <d v="2020-09-10T00:00:00"/>
    <s v="Paul Scott"/>
    <x v="3"/>
    <s v="San Francisco"/>
    <x v="57"/>
    <n v="45.080586961751266"/>
  </r>
  <r>
    <s v="B-26279"/>
    <n v="3747"/>
    <n v="410"/>
    <n v="5"/>
    <x v="1"/>
    <s v="Markers"/>
    <x v="3"/>
    <d v="2020-07-12T00:00:00"/>
    <s v="Kristin Alvarez"/>
    <x v="1"/>
    <s v="Springfield"/>
    <x v="60"/>
    <n v="10.942087002935681"/>
  </r>
  <r>
    <s v="B-26279"/>
    <n v="3747"/>
    <n v="410"/>
    <n v="5"/>
    <x v="1"/>
    <s v="Markers"/>
    <x v="3"/>
    <d v="2022-12-08T00:00:00"/>
    <s v="Kevin Jackson"/>
    <x v="2"/>
    <s v="Buffalo"/>
    <x v="29"/>
    <n v="10.942087002935681"/>
  </r>
  <r>
    <s v="B-26279"/>
    <n v="3747"/>
    <n v="410"/>
    <n v="5"/>
    <x v="1"/>
    <s v="Markers"/>
    <x v="3"/>
    <d v="2024-03-27T00:00:00"/>
    <s v="Mrs. Lauren Potter DDS"/>
    <x v="5"/>
    <s v="Columbus"/>
    <x v="55"/>
    <n v="10.942087002935681"/>
  </r>
  <r>
    <s v="B-26279"/>
    <n v="3747"/>
    <n v="410"/>
    <n v="5"/>
    <x v="1"/>
    <s v="Markers"/>
    <x v="3"/>
    <d v="2023-02-17T00:00:00"/>
    <s v="Jason Brown"/>
    <x v="1"/>
    <s v="Chicago"/>
    <x v="14"/>
    <n v="10.942087002935681"/>
  </r>
  <r>
    <s v="B-26279"/>
    <n v="3747"/>
    <n v="410"/>
    <n v="5"/>
    <x v="1"/>
    <s v="Markers"/>
    <x v="3"/>
    <d v="2021-07-21T00:00:00"/>
    <s v="Jamie Santos"/>
    <x v="3"/>
    <s v="Los Angeles"/>
    <x v="2"/>
    <n v="10.942087002935681"/>
  </r>
  <r>
    <s v="B-26279"/>
    <n v="3194"/>
    <n v="534"/>
    <n v="4"/>
    <x v="1"/>
    <s v="Binders"/>
    <x v="0"/>
    <d v="2020-07-12T00:00:00"/>
    <s v="Kristin Alvarez"/>
    <x v="1"/>
    <s v="Springfield"/>
    <x v="60"/>
    <n v="16.718847839699436"/>
  </r>
  <r>
    <s v="B-26279"/>
    <n v="3194"/>
    <n v="534"/>
    <n v="4"/>
    <x v="1"/>
    <s v="Binders"/>
    <x v="0"/>
    <d v="2022-12-08T00:00:00"/>
    <s v="Kevin Jackson"/>
    <x v="2"/>
    <s v="Buffalo"/>
    <x v="29"/>
    <n v="16.718847839699436"/>
  </r>
  <r>
    <s v="B-26279"/>
    <n v="3194"/>
    <n v="534"/>
    <n v="4"/>
    <x v="1"/>
    <s v="Binders"/>
    <x v="0"/>
    <d v="2024-03-27T00:00:00"/>
    <s v="Mrs. Lauren Potter DDS"/>
    <x v="5"/>
    <s v="Columbus"/>
    <x v="55"/>
    <n v="16.718847839699436"/>
  </r>
  <r>
    <s v="B-26279"/>
    <n v="3194"/>
    <n v="534"/>
    <n v="4"/>
    <x v="1"/>
    <s v="Binders"/>
    <x v="0"/>
    <d v="2023-02-17T00:00:00"/>
    <s v="Jason Brown"/>
    <x v="1"/>
    <s v="Chicago"/>
    <x v="14"/>
    <n v="16.718847839699436"/>
  </r>
  <r>
    <s v="B-26279"/>
    <n v="3194"/>
    <n v="534"/>
    <n v="4"/>
    <x v="1"/>
    <s v="Binders"/>
    <x v="0"/>
    <d v="2021-07-21T00:00:00"/>
    <s v="Jamie Santos"/>
    <x v="3"/>
    <s v="Los Angeles"/>
    <x v="2"/>
    <n v="16.718847839699436"/>
  </r>
  <r>
    <s v="B-25770"/>
    <n v="8548"/>
    <n v="2305"/>
    <n v="1"/>
    <x v="1"/>
    <s v="Binders"/>
    <x v="4"/>
    <d v="2022-10-30T00:00:00"/>
    <s v="James Taylor"/>
    <x v="0"/>
    <s v="Tampa"/>
    <x v="15"/>
    <n v="26.965372016846047"/>
  </r>
  <r>
    <s v="B-25715"/>
    <n v="6089"/>
    <n v="139"/>
    <n v="19"/>
    <x v="2"/>
    <s v="Tables"/>
    <x v="1"/>
    <d v="2020-12-31T00:00:00"/>
    <s v="Alicia Vincent"/>
    <x v="5"/>
    <s v="Cincinnati"/>
    <x v="50"/>
    <n v="2.282805058301856"/>
  </r>
  <r>
    <s v="B-25715"/>
    <n v="6089"/>
    <n v="139"/>
    <n v="19"/>
    <x v="2"/>
    <s v="Tables"/>
    <x v="1"/>
    <d v="2022-04-15T00:00:00"/>
    <s v="Kenneth Adams"/>
    <x v="5"/>
    <s v="Cleveland"/>
    <x v="39"/>
    <n v="2.282805058301856"/>
  </r>
  <r>
    <s v="B-25715"/>
    <n v="6089"/>
    <n v="139"/>
    <n v="19"/>
    <x v="2"/>
    <s v="Tables"/>
    <x v="1"/>
    <d v="2023-04-05T00:00:00"/>
    <s v="Shelby Browning"/>
    <x v="1"/>
    <s v="Chicago"/>
    <x v="28"/>
    <n v="2.282805058301856"/>
  </r>
  <r>
    <s v="B-25715"/>
    <n v="2586"/>
    <n v="800"/>
    <n v="16"/>
    <x v="2"/>
    <s v="Tables"/>
    <x v="0"/>
    <d v="2020-12-31T00:00:00"/>
    <s v="Alicia Vincent"/>
    <x v="5"/>
    <s v="Cincinnati"/>
    <x v="50"/>
    <n v="30.935808197989171"/>
  </r>
  <r>
    <s v="B-25715"/>
    <n v="2586"/>
    <n v="800"/>
    <n v="16"/>
    <x v="2"/>
    <s v="Tables"/>
    <x v="0"/>
    <d v="2022-04-15T00:00:00"/>
    <s v="Kenneth Adams"/>
    <x v="5"/>
    <s v="Cleveland"/>
    <x v="39"/>
    <n v="30.935808197989171"/>
  </r>
  <r>
    <s v="B-25715"/>
    <n v="2586"/>
    <n v="800"/>
    <n v="16"/>
    <x v="2"/>
    <s v="Tables"/>
    <x v="0"/>
    <d v="2023-04-05T00:00:00"/>
    <s v="Shelby Browning"/>
    <x v="1"/>
    <s v="Chicago"/>
    <x v="28"/>
    <n v="30.935808197989171"/>
  </r>
  <r>
    <s v="B-25715"/>
    <n v="3757"/>
    <n v="1626"/>
    <n v="9"/>
    <x v="1"/>
    <s v="Paper"/>
    <x v="0"/>
    <d v="2020-12-31T00:00:00"/>
    <s v="Alicia Vincent"/>
    <x v="5"/>
    <s v="Cincinnati"/>
    <x v="50"/>
    <n v="43.279212137343627"/>
  </r>
  <r>
    <s v="B-25715"/>
    <n v="3757"/>
    <n v="1626"/>
    <n v="9"/>
    <x v="1"/>
    <s v="Paper"/>
    <x v="0"/>
    <d v="2022-04-15T00:00:00"/>
    <s v="Kenneth Adams"/>
    <x v="5"/>
    <s v="Cleveland"/>
    <x v="39"/>
    <n v="43.279212137343627"/>
  </r>
  <r>
    <s v="B-25715"/>
    <n v="3757"/>
    <n v="1626"/>
    <n v="9"/>
    <x v="1"/>
    <s v="Paper"/>
    <x v="0"/>
    <d v="2023-04-05T00:00:00"/>
    <s v="Shelby Browning"/>
    <x v="1"/>
    <s v="Chicago"/>
    <x v="28"/>
    <n v="43.279212137343627"/>
  </r>
  <r>
    <s v="B-26961"/>
    <n v="5193"/>
    <n v="2530"/>
    <n v="5"/>
    <x v="2"/>
    <s v="Sofas"/>
    <x v="1"/>
    <d v="2021-10-29T00:00:00"/>
    <s v="Johnny Hill"/>
    <x v="3"/>
    <s v="San Diego"/>
    <x v="4"/>
    <n v="48.719430001925666"/>
  </r>
  <r>
    <s v="B-26961"/>
    <n v="5193"/>
    <n v="2530"/>
    <n v="5"/>
    <x v="2"/>
    <s v="Sofas"/>
    <x v="1"/>
    <d v="2024-12-29T00:00:00"/>
    <s v="Nicholas Tucker"/>
    <x v="0"/>
    <s v="Miami"/>
    <x v="1"/>
    <n v="48.719430001925666"/>
  </r>
  <r>
    <s v="B-25902"/>
    <n v="7493"/>
    <n v="96"/>
    <n v="3"/>
    <x v="0"/>
    <s v="Electronic Games"/>
    <x v="0"/>
    <d v="2020-08-11T00:00:00"/>
    <s v="Theresa Cline"/>
    <x v="5"/>
    <s v="Cleveland"/>
    <x v="38"/>
    <n v="1.2811957827305485"/>
  </r>
  <r>
    <s v="B-26321"/>
    <n v="2062"/>
    <n v="848"/>
    <n v="6"/>
    <x v="1"/>
    <s v="Markers"/>
    <x v="3"/>
    <d v="2024-03-04T00:00:00"/>
    <s v="Christine Wheeler"/>
    <x v="0"/>
    <s v="Tampa"/>
    <x v="55"/>
    <n v="41.125121241513099"/>
  </r>
  <r>
    <s v="B-25612"/>
    <n v="7163"/>
    <n v="1536"/>
    <n v="1"/>
    <x v="0"/>
    <s v="Phones"/>
    <x v="2"/>
    <d v="2023-10-17T00:00:00"/>
    <s v="Carlos Wells"/>
    <x v="3"/>
    <s v="San Diego"/>
    <x v="59"/>
    <n v="21.44352924752199"/>
  </r>
  <r>
    <s v="B-25605"/>
    <n v="4026"/>
    <n v="163"/>
    <n v="6"/>
    <x v="0"/>
    <s v="Phones"/>
    <x v="4"/>
    <d v="2023-07-28T00:00:00"/>
    <s v="Randall Bell"/>
    <x v="2"/>
    <s v="New York City"/>
    <x v="17"/>
    <n v="4.0486835568802784"/>
  </r>
  <r>
    <s v="B-25810"/>
    <n v="1894"/>
    <n v="275"/>
    <n v="5"/>
    <x v="2"/>
    <s v="Chairs"/>
    <x v="3"/>
    <d v="2021-11-27T00:00:00"/>
    <s v="Kendra Mckinney"/>
    <x v="0"/>
    <s v="Miami"/>
    <x v="35"/>
    <n v="14.519535374868003"/>
  </r>
  <r>
    <s v="B-25810"/>
    <n v="7144"/>
    <n v="192"/>
    <n v="13"/>
    <x v="0"/>
    <s v="Electronic Games"/>
    <x v="3"/>
    <d v="2021-11-27T00:00:00"/>
    <s v="Kendra Mckinney"/>
    <x v="0"/>
    <s v="Miami"/>
    <x v="35"/>
    <n v="2.6875699888017914"/>
  </r>
  <r>
    <s v="B-25935"/>
    <n v="3482"/>
    <n v="1554"/>
    <n v="15"/>
    <x v="0"/>
    <s v="Laptops"/>
    <x v="1"/>
    <d v="2020-09-09T00:00:00"/>
    <s v="Amanda Kim"/>
    <x v="5"/>
    <s v="Columbus"/>
    <x v="57"/>
    <n v="44.629523262492818"/>
  </r>
  <r>
    <s v="B-26245"/>
    <n v="4172"/>
    <n v="235"/>
    <n v="5"/>
    <x v="1"/>
    <s v="Paper"/>
    <x v="2"/>
    <d v="2021-06-02T00:00:00"/>
    <s v="Megan Morgan"/>
    <x v="5"/>
    <s v="Cleveland"/>
    <x v="22"/>
    <n v="5.6327900287631829"/>
  </r>
  <r>
    <s v="B-26245"/>
    <n v="4172"/>
    <n v="235"/>
    <n v="5"/>
    <x v="1"/>
    <s v="Paper"/>
    <x v="2"/>
    <d v="2022-08-22T00:00:00"/>
    <s v="Vincent Kramer"/>
    <x v="0"/>
    <s v="Orlando"/>
    <x v="40"/>
    <n v="5.6327900287631829"/>
  </r>
  <r>
    <s v="B-26245"/>
    <n v="4172"/>
    <n v="235"/>
    <n v="5"/>
    <x v="1"/>
    <s v="Paper"/>
    <x v="2"/>
    <d v="2024-04-16T00:00:00"/>
    <s v="Raymond Bean"/>
    <x v="1"/>
    <s v="Springfield"/>
    <x v="44"/>
    <n v="5.6327900287631829"/>
  </r>
  <r>
    <s v="B-25346"/>
    <n v="6265"/>
    <n v="155"/>
    <n v="8"/>
    <x v="2"/>
    <s v="Sofas"/>
    <x v="4"/>
    <d v="2022-08-23T00:00:00"/>
    <s v="Reginald Hebert"/>
    <x v="5"/>
    <s v="Cincinnati"/>
    <x v="40"/>
    <n v="2.4740622505985637"/>
  </r>
  <r>
    <s v="B-25346"/>
    <n v="6265"/>
    <n v="155"/>
    <n v="8"/>
    <x v="2"/>
    <s v="Sofas"/>
    <x v="4"/>
    <d v="2021-03-12T00:00:00"/>
    <s v="Jeremy Vazquez"/>
    <x v="5"/>
    <s v="Cleveland"/>
    <x v="34"/>
    <n v="2.4740622505985637"/>
  </r>
  <r>
    <s v="B-25594"/>
    <n v="2931"/>
    <n v="212"/>
    <n v="7"/>
    <x v="0"/>
    <s v="Electronic Games"/>
    <x v="3"/>
    <d v="2024-06-26T00:00:00"/>
    <s v="Michael Stewart"/>
    <x v="1"/>
    <s v="Peoria"/>
    <x v="47"/>
    <n v="7.2330262708973052"/>
  </r>
  <r>
    <s v="B-25594"/>
    <n v="2931"/>
    <n v="212"/>
    <n v="7"/>
    <x v="0"/>
    <s v="Electronic Games"/>
    <x v="3"/>
    <d v="2023-12-08T00:00:00"/>
    <s v="Kevin Johnson"/>
    <x v="0"/>
    <s v="Tampa"/>
    <x v="16"/>
    <n v="7.2330262708973052"/>
  </r>
  <r>
    <s v="B-25471"/>
    <n v="1146"/>
    <n v="188"/>
    <n v="9"/>
    <x v="2"/>
    <s v="Chairs"/>
    <x v="1"/>
    <d v="2024-11-27T00:00:00"/>
    <s v="Tara Hughes"/>
    <x v="0"/>
    <s v="Tampa"/>
    <x v="46"/>
    <n v="16.404886561954623"/>
  </r>
  <r>
    <s v="B-25398"/>
    <n v="9215"/>
    <n v="767"/>
    <n v="13"/>
    <x v="0"/>
    <s v="Printers"/>
    <x v="4"/>
    <d v="2022-01-10T00:00:00"/>
    <s v="Sandra Perkins"/>
    <x v="0"/>
    <s v="Tampa"/>
    <x v="12"/>
    <n v="8.3233857840477494"/>
  </r>
  <r>
    <s v="B-25398"/>
    <n v="9215"/>
    <n v="767"/>
    <n v="13"/>
    <x v="0"/>
    <s v="Printers"/>
    <x v="4"/>
    <d v="2021-11-01T00:00:00"/>
    <s v="Heather Bell"/>
    <x v="3"/>
    <s v="San Francisco"/>
    <x v="35"/>
    <n v="8.3233857840477494"/>
  </r>
  <r>
    <s v="B-25999"/>
    <n v="7895"/>
    <n v="1005"/>
    <n v="1"/>
    <x v="2"/>
    <s v="Chairs"/>
    <x v="3"/>
    <d v="2023-10-28T00:00:00"/>
    <s v="Nancy Boyd"/>
    <x v="5"/>
    <s v="Cincinnati"/>
    <x v="59"/>
    <n v="12.72957568081064"/>
  </r>
  <r>
    <s v="B-25999"/>
    <n v="7895"/>
    <n v="1005"/>
    <n v="1"/>
    <x v="2"/>
    <s v="Chairs"/>
    <x v="3"/>
    <d v="2025-03-01T00:00:00"/>
    <s v="Raymond Reyes"/>
    <x v="3"/>
    <s v="San Diego"/>
    <x v="30"/>
    <n v="12.72957568081064"/>
  </r>
  <r>
    <s v="B-25999"/>
    <n v="2740"/>
    <n v="558"/>
    <n v="8"/>
    <x v="1"/>
    <s v="Pens"/>
    <x v="0"/>
    <d v="2023-10-28T00:00:00"/>
    <s v="Nancy Boyd"/>
    <x v="5"/>
    <s v="Cincinnati"/>
    <x v="59"/>
    <n v="20.364963503649637"/>
  </r>
  <r>
    <s v="B-25999"/>
    <n v="2740"/>
    <n v="558"/>
    <n v="8"/>
    <x v="1"/>
    <s v="Pens"/>
    <x v="0"/>
    <d v="2025-03-01T00:00:00"/>
    <s v="Raymond Reyes"/>
    <x v="3"/>
    <s v="San Diego"/>
    <x v="30"/>
    <n v="20.364963503649637"/>
  </r>
  <r>
    <s v="B-25159"/>
    <n v="5338"/>
    <n v="1354"/>
    <n v="16"/>
    <x v="1"/>
    <s v="Markers"/>
    <x v="0"/>
    <d v="2024-08-01T00:00:00"/>
    <s v="Cassandra Jordan"/>
    <x v="1"/>
    <s v="Peoria"/>
    <x v="19"/>
    <n v="25.365305357811913"/>
  </r>
  <r>
    <s v="B-25159"/>
    <n v="5338"/>
    <n v="1354"/>
    <n v="16"/>
    <x v="1"/>
    <s v="Markers"/>
    <x v="0"/>
    <d v="2023-06-07T00:00:00"/>
    <s v="Evelyn Harris"/>
    <x v="2"/>
    <s v="Buffalo"/>
    <x v="0"/>
    <n v="25.365305357811913"/>
  </r>
  <r>
    <s v="B-25159"/>
    <n v="5338"/>
    <n v="1354"/>
    <n v="16"/>
    <x v="1"/>
    <s v="Markers"/>
    <x v="0"/>
    <d v="2024-10-21T00:00:00"/>
    <s v="Shannon Maynard"/>
    <x v="0"/>
    <s v="Orlando"/>
    <x v="56"/>
    <n v="25.365305357811913"/>
  </r>
  <r>
    <s v="B-25159"/>
    <n v="5338"/>
    <n v="1354"/>
    <n v="16"/>
    <x v="1"/>
    <s v="Markers"/>
    <x v="0"/>
    <d v="2021-01-04T00:00:00"/>
    <s v="Marie James"/>
    <x v="2"/>
    <s v="Buffalo"/>
    <x v="49"/>
    <n v="25.365305357811913"/>
  </r>
  <r>
    <s v="B-25496"/>
    <n v="3095"/>
    <n v="941"/>
    <n v="2"/>
    <x v="1"/>
    <s v="Pens"/>
    <x v="2"/>
    <d v="2022-04-19T00:00:00"/>
    <s v="Maria Carroll"/>
    <x v="5"/>
    <s v="Cleveland"/>
    <x v="39"/>
    <n v="30.403877221324716"/>
  </r>
  <r>
    <s v="B-25496"/>
    <n v="3095"/>
    <n v="941"/>
    <n v="2"/>
    <x v="1"/>
    <s v="Pens"/>
    <x v="2"/>
    <d v="2022-08-11T00:00:00"/>
    <s v="Jessica Sloan"/>
    <x v="4"/>
    <s v="Austin"/>
    <x v="40"/>
    <n v="30.403877221324716"/>
  </r>
  <r>
    <s v="B-25401"/>
    <n v="6017"/>
    <n v="2230"/>
    <n v="13"/>
    <x v="0"/>
    <s v="Printers"/>
    <x v="1"/>
    <d v="2023-08-04T00:00:00"/>
    <s v="Scott Craig"/>
    <x v="1"/>
    <s v="Peoria"/>
    <x v="21"/>
    <n v="37.061658633870699"/>
  </r>
  <r>
    <s v="B-25707"/>
    <n v="4904"/>
    <n v="469"/>
    <n v="2"/>
    <x v="1"/>
    <s v="Pens"/>
    <x v="1"/>
    <d v="2020-04-25T00:00:00"/>
    <s v="Kaitlin Brown"/>
    <x v="4"/>
    <s v="Dallas"/>
    <x v="32"/>
    <n v="9.5636215334420882"/>
  </r>
  <r>
    <s v="B-25707"/>
    <n v="3080"/>
    <n v="737"/>
    <n v="6"/>
    <x v="1"/>
    <s v="Binders"/>
    <x v="0"/>
    <d v="2020-04-25T00:00:00"/>
    <s v="Kaitlin Brown"/>
    <x v="4"/>
    <s v="Dallas"/>
    <x v="32"/>
    <n v="23.928571428571431"/>
  </r>
  <r>
    <s v="B-26225"/>
    <n v="1992"/>
    <n v="355"/>
    <n v="2"/>
    <x v="0"/>
    <s v="Phones"/>
    <x v="4"/>
    <d v="2024-12-14T00:00:00"/>
    <s v="William Beck"/>
    <x v="0"/>
    <s v="Tampa"/>
    <x v="1"/>
    <n v="17.821285140562249"/>
  </r>
  <r>
    <s v="B-25662"/>
    <n v="5346"/>
    <n v="1246"/>
    <n v="17"/>
    <x v="2"/>
    <s v="Sofas"/>
    <x v="2"/>
    <d v="2022-07-25T00:00:00"/>
    <s v="Eric Mason"/>
    <x v="0"/>
    <s v="Orlando"/>
    <x v="58"/>
    <n v="23.307145529367752"/>
  </r>
  <r>
    <s v="B-25662"/>
    <n v="5346"/>
    <n v="1246"/>
    <n v="17"/>
    <x v="2"/>
    <s v="Sofas"/>
    <x v="2"/>
    <d v="2022-05-07T00:00:00"/>
    <s v="Lisa Lowe"/>
    <x v="0"/>
    <s v="Miami"/>
    <x v="37"/>
    <n v="23.307145529367752"/>
  </r>
  <r>
    <s v="B-26752"/>
    <n v="8422"/>
    <n v="893"/>
    <n v="18"/>
    <x v="0"/>
    <s v="Printers"/>
    <x v="1"/>
    <d v="2022-08-11T00:00:00"/>
    <s v="Roy Miller"/>
    <x v="3"/>
    <s v="San Francisco"/>
    <x v="40"/>
    <n v="10.603182142009024"/>
  </r>
  <r>
    <s v="B-26752"/>
    <n v="8422"/>
    <n v="893"/>
    <n v="18"/>
    <x v="0"/>
    <s v="Printers"/>
    <x v="1"/>
    <d v="2022-08-12T00:00:00"/>
    <s v="Christopher Espinoza"/>
    <x v="5"/>
    <s v="Columbus"/>
    <x v="40"/>
    <n v="10.603182142009024"/>
  </r>
  <r>
    <s v="B-26752"/>
    <n v="6105"/>
    <n v="1447"/>
    <n v="8"/>
    <x v="2"/>
    <s v="Bookcases"/>
    <x v="3"/>
    <d v="2022-08-11T00:00:00"/>
    <s v="Roy Miller"/>
    <x v="3"/>
    <s v="San Francisco"/>
    <x v="40"/>
    <n v="23.701883701883702"/>
  </r>
  <r>
    <s v="B-26752"/>
    <n v="6105"/>
    <n v="1447"/>
    <n v="8"/>
    <x v="2"/>
    <s v="Bookcases"/>
    <x v="3"/>
    <d v="2022-08-12T00:00:00"/>
    <s v="Christopher Espinoza"/>
    <x v="5"/>
    <s v="Columbus"/>
    <x v="40"/>
    <n v="23.701883701883702"/>
  </r>
  <r>
    <s v="B-25640"/>
    <n v="670"/>
    <n v="85"/>
    <n v="9"/>
    <x v="1"/>
    <s v="Pens"/>
    <x v="2"/>
    <d v="2023-08-21T00:00:00"/>
    <s v="Claire Cole"/>
    <x v="4"/>
    <s v="Houston"/>
    <x v="21"/>
    <n v="12.686567164179104"/>
  </r>
  <r>
    <s v="B-25030"/>
    <n v="4057"/>
    <n v="1012"/>
    <n v="6"/>
    <x v="0"/>
    <s v="Laptops"/>
    <x v="3"/>
    <d v="2022-09-12T00:00:00"/>
    <s v="Eric Nunez"/>
    <x v="3"/>
    <s v="San Diego"/>
    <x v="24"/>
    <n v="24.944540300714813"/>
  </r>
  <r>
    <s v="B-25504"/>
    <n v="8178"/>
    <n v="2462"/>
    <n v="10"/>
    <x v="1"/>
    <s v="Pens"/>
    <x v="0"/>
    <d v="2023-08-20T00:00:00"/>
    <s v="David Bell"/>
    <x v="3"/>
    <s v="Los Angeles"/>
    <x v="21"/>
    <n v="30.105160185864516"/>
  </r>
  <r>
    <s v="B-26912"/>
    <n v="8752"/>
    <n v="1686"/>
    <n v="9"/>
    <x v="2"/>
    <s v="Tables"/>
    <x v="1"/>
    <d v="2020-12-27T00:00:00"/>
    <s v="Patrick Hensley MD"/>
    <x v="5"/>
    <s v="Cincinnati"/>
    <x v="50"/>
    <n v="19.264168190127968"/>
  </r>
  <r>
    <s v="B-26912"/>
    <n v="8752"/>
    <n v="1686"/>
    <n v="9"/>
    <x v="2"/>
    <s v="Tables"/>
    <x v="1"/>
    <d v="2023-09-04T00:00:00"/>
    <s v="John Cox"/>
    <x v="1"/>
    <s v="Peoria"/>
    <x v="48"/>
    <n v="19.264168190127968"/>
  </r>
  <r>
    <s v="B-26912"/>
    <n v="8752"/>
    <n v="1686"/>
    <n v="9"/>
    <x v="2"/>
    <s v="Tables"/>
    <x v="1"/>
    <d v="2022-01-08T00:00:00"/>
    <s v="Michelle Sullivan"/>
    <x v="1"/>
    <s v="Chicago"/>
    <x v="12"/>
    <n v="19.264168190127968"/>
  </r>
  <r>
    <s v="B-25193"/>
    <n v="8974"/>
    <n v="4441"/>
    <n v="16"/>
    <x v="0"/>
    <s v="Printers"/>
    <x v="2"/>
    <d v="2023-06-05T00:00:00"/>
    <s v="Angela Todd"/>
    <x v="2"/>
    <s v="New York City"/>
    <x v="0"/>
    <n v="49.487408067751282"/>
  </r>
  <r>
    <s v="B-25106"/>
    <n v="9090"/>
    <n v="3098"/>
    <n v="16"/>
    <x v="0"/>
    <s v="Phones"/>
    <x v="3"/>
    <d v="2021-04-01T00:00:00"/>
    <s v="Luke Saunders"/>
    <x v="4"/>
    <s v="Dallas"/>
    <x v="27"/>
    <n v="34.081408140814077"/>
  </r>
  <r>
    <s v="B-25106"/>
    <n v="9090"/>
    <n v="3098"/>
    <n v="16"/>
    <x v="0"/>
    <s v="Phones"/>
    <x v="3"/>
    <d v="2024-05-28T00:00:00"/>
    <s v="Dr. Jennifer Benton DVM"/>
    <x v="1"/>
    <s v="Springfield"/>
    <x v="3"/>
    <n v="34.081408140814077"/>
  </r>
  <r>
    <s v="B-25106"/>
    <n v="851"/>
    <n v="356"/>
    <n v="11"/>
    <x v="0"/>
    <s v="Electronic Games"/>
    <x v="3"/>
    <d v="2021-04-01T00:00:00"/>
    <s v="Luke Saunders"/>
    <x v="4"/>
    <s v="Dallas"/>
    <x v="27"/>
    <n v="41.833137485311397"/>
  </r>
  <r>
    <s v="B-25106"/>
    <n v="851"/>
    <n v="356"/>
    <n v="11"/>
    <x v="0"/>
    <s v="Electronic Games"/>
    <x v="3"/>
    <d v="2024-05-28T00:00:00"/>
    <s v="Dr. Jennifer Benton DVM"/>
    <x v="1"/>
    <s v="Springfield"/>
    <x v="3"/>
    <n v="41.833137485311397"/>
  </r>
  <r>
    <s v="B-26835"/>
    <n v="5427"/>
    <n v="728"/>
    <n v="3"/>
    <x v="0"/>
    <s v="Phones"/>
    <x v="0"/>
    <d v="2023-03-09T00:00:00"/>
    <s v="Keith Smith"/>
    <x v="0"/>
    <s v="Miami"/>
    <x v="45"/>
    <n v="13.414409434309931"/>
  </r>
  <r>
    <s v="B-25836"/>
    <n v="2695"/>
    <n v="914"/>
    <n v="15"/>
    <x v="2"/>
    <s v="Bookcases"/>
    <x v="1"/>
    <d v="2022-07-28T00:00:00"/>
    <s v="Danielle Mitchell"/>
    <x v="1"/>
    <s v="Peoria"/>
    <x v="58"/>
    <n v="33.914656771799628"/>
  </r>
  <r>
    <s v="B-25836"/>
    <n v="2695"/>
    <n v="914"/>
    <n v="15"/>
    <x v="2"/>
    <s v="Bookcases"/>
    <x v="1"/>
    <d v="2021-06-17T00:00:00"/>
    <s v="Jesus Hernandez"/>
    <x v="3"/>
    <s v="Los Angeles"/>
    <x v="22"/>
    <n v="33.914656771799628"/>
  </r>
  <r>
    <s v="B-26661"/>
    <n v="2386"/>
    <n v="999"/>
    <n v="3"/>
    <x v="1"/>
    <s v="Pens"/>
    <x v="4"/>
    <d v="2024-02-13T00:00:00"/>
    <s v="Jason Norman"/>
    <x v="0"/>
    <s v="Miami"/>
    <x v="42"/>
    <n v="41.869237217099744"/>
  </r>
  <r>
    <s v="B-26317"/>
    <n v="2284"/>
    <n v="149"/>
    <n v="20"/>
    <x v="1"/>
    <s v="Pens"/>
    <x v="1"/>
    <d v="2021-08-06T00:00:00"/>
    <s v="Laura Poole"/>
    <x v="2"/>
    <s v="Rochester"/>
    <x v="36"/>
    <n v="6.5236427320490371"/>
  </r>
  <r>
    <s v="B-26839"/>
    <n v="6034"/>
    <n v="608"/>
    <n v="8"/>
    <x v="0"/>
    <s v="Phones"/>
    <x v="2"/>
    <d v="2022-05-01T00:00:00"/>
    <s v="Sarah Wagner"/>
    <x v="4"/>
    <s v="Houston"/>
    <x v="37"/>
    <n v="10.076234670202187"/>
  </r>
  <r>
    <s v="B-26839"/>
    <n v="8956"/>
    <n v="3359"/>
    <n v="13"/>
    <x v="2"/>
    <s v="Bookcases"/>
    <x v="3"/>
    <d v="2022-05-01T00:00:00"/>
    <s v="Sarah Wagner"/>
    <x v="4"/>
    <s v="Houston"/>
    <x v="37"/>
    <n v="37.50558284948638"/>
  </r>
  <r>
    <s v="B-25735"/>
    <n v="7122"/>
    <n v="1982"/>
    <n v="7"/>
    <x v="1"/>
    <s v="Markers"/>
    <x v="2"/>
    <d v="2024-03-11T00:00:00"/>
    <s v="Bryan Baird"/>
    <x v="1"/>
    <s v="Peoria"/>
    <x v="55"/>
    <n v="27.829261443414772"/>
  </r>
  <r>
    <s v="B-25387"/>
    <n v="9775"/>
    <n v="4507"/>
    <n v="5"/>
    <x v="1"/>
    <s v="Markers"/>
    <x v="0"/>
    <d v="2020-07-06T00:00:00"/>
    <s v="Amy Thompson"/>
    <x v="5"/>
    <s v="Cincinnati"/>
    <x v="60"/>
    <n v="46.107416879795402"/>
  </r>
  <r>
    <s v="B-25192"/>
    <n v="3309"/>
    <n v="177"/>
    <n v="13"/>
    <x v="2"/>
    <s v="Bookcases"/>
    <x v="2"/>
    <d v="2020-12-17T00:00:00"/>
    <s v="Ashley Wright"/>
    <x v="5"/>
    <s v="Cleveland"/>
    <x v="50"/>
    <n v="5.3490480507706257"/>
  </r>
  <r>
    <s v="B-26844"/>
    <n v="4163"/>
    <n v="897"/>
    <n v="14"/>
    <x v="0"/>
    <s v="Electronic Games"/>
    <x v="4"/>
    <d v="2022-08-30T00:00:00"/>
    <s v="Michelle Lynch"/>
    <x v="1"/>
    <s v="Springfield"/>
    <x v="40"/>
    <n v="21.546961325966851"/>
  </r>
  <r>
    <s v="B-26844"/>
    <n v="4163"/>
    <n v="897"/>
    <n v="14"/>
    <x v="0"/>
    <s v="Electronic Games"/>
    <x v="4"/>
    <d v="2025-02-27T00:00:00"/>
    <s v="Ryan Hale"/>
    <x v="5"/>
    <s v="Cleveland"/>
    <x v="9"/>
    <n v="21.546961325966851"/>
  </r>
  <r>
    <s v="B-26844"/>
    <n v="4163"/>
    <n v="897"/>
    <n v="14"/>
    <x v="0"/>
    <s v="Electronic Games"/>
    <x v="4"/>
    <d v="2021-06-05T00:00:00"/>
    <s v="Marie Jefferson"/>
    <x v="0"/>
    <s v="Orlando"/>
    <x v="22"/>
    <n v="21.546961325966851"/>
  </r>
  <r>
    <s v="B-25236"/>
    <n v="5518"/>
    <n v="867"/>
    <n v="7"/>
    <x v="2"/>
    <s v="Sofas"/>
    <x v="0"/>
    <d v="2022-12-22T00:00:00"/>
    <s v="Vanessa Smith"/>
    <x v="4"/>
    <s v="Houston"/>
    <x v="29"/>
    <n v="15.712214570496558"/>
  </r>
  <r>
    <s v="B-25940"/>
    <n v="7566"/>
    <n v="606"/>
    <n v="6"/>
    <x v="0"/>
    <s v="Phones"/>
    <x v="1"/>
    <d v="2025-01-25T00:00:00"/>
    <s v="Ryan Foster"/>
    <x v="5"/>
    <s v="Columbus"/>
    <x v="52"/>
    <n v="8.0095162569389373"/>
  </r>
  <r>
    <s v="B-25940"/>
    <n v="7566"/>
    <n v="606"/>
    <n v="6"/>
    <x v="0"/>
    <s v="Phones"/>
    <x v="1"/>
    <d v="2025-02-14T00:00:00"/>
    <s v="David Lara"/>
    <x v="3"/>
    <s v="San Diego"/>
    <x v="9"/>
    <n v="8.0095162569389373"/>
  </r>
  <r>
    <s v="B-26765"/>
    <n v="762"/>
    <n v="92"/>
    <n v="11"/>
    <x v="0"/>
    <s v="Printers"/>
    <x v="4"/>
    <d v="2023-01-06T00:00:00"/>
    <s v="Jonathan Young"/>
    <x v="1"/>
    <s v="Springfield"/>
    <x v="54"/>
    <n v="12.073490813648293"/>
  </r>
  <r>
    <s v="B-26817"/>
    <n v="3316"/>
    <n v="126"/>
    <n v="6"/>
    <x v="0"/>
    <s v="Laptops"/>
    <x v="4"/>
    <d v="2020-10-11T00:00:00"/>
    <s v="Debra Townsend"/>
    <x v="5"/>
    <s v="Cincinnati"/>
    <x v="20"/>
    <n v="3.7997587454764772"/>
  </r>
  <r>
    <s v="B-26522"/>
    <n v="5994"/>
    <n v="2826"/>
    <n v="9"/>
    <x v="2"/>
    <s v="Bookcases"/>
    <x v="2"/>
    <d v="2023-05-24T00:00:00"/>
    <s v="John Thomas"/>
    <x v="3"/>
    <s v="San Francisco"/>
    <x v="23"/>
    <n v="47.147147147147145"/>
  </r>
  <r>
    <s v="B-26522"/>
    <n v="5994"/>
    <n v="2826"/>
    <n v="9"/>
    <x v="2"/>
    <s v="Bookcases"/>
    <x v="2"/>
    <d v="2024-03-12T00:00:00"/>
    <s v="Bryan Anderson"/>
    <x v="3"/>
    <s v="Los Angeles"/>
    <x v="55"/>
    <n v="47.147147147147145"/>
  </r>
  <r>
    <s v="B-26522"/>
    <n v="5994"/>
    <n v="2826"/>
    <n v="9"/>
    <x v="2"/>
    <s v="Bookcases"/>
    <x v="2"/>
    <d v="2024-03-17T00:00:00"/>
    <s v="Sarah Miller"/>
    <x v="2"/>
    <s v="New York City"/>
    <x v="55"/>
    <n v="47.147147147147145"/>
  </r>
  <r>
    <s v="B-25681"/>
    <n v="3854"/>
    <n v="245"/>
    <n v="19"/>
    <x v="0"/>
    <s v="Laptops"/>
    <x v="4"/>
    <d v="2022-05-17T00:00:00"/>
    <s v="Robert Hill"/>
    <x v="5"/>
    <s v="Columbus"/>
    <x v="37"/>
    <n v="6.3570316554229374"/>
  </r>
  <r>
    <s v="B-25382"/>
    <n v="7019"/>
    <n v="2677"/>
    <n v="15"/>
    <x v="1"/>
    <s v="Markers"/>
    <x v="0"/>
    <d v="2020-12-21T00:00:00"/>
    <s v="Joshua Rojas"/>
    <x v="0"/>
    <s v="Miami"/>
    <x v="50"/>
    <n v="38.139336087761791"/>
  </r>
  <r>
    <s v="B-25944"/>
    <n v="5954"/>
    <n v="2640"/>
    <n v="14"/>
    <x v="0"/>
    <s v="Laptops"/>
    <x v="3"/>
    <d v="2021-08-24T00:00:00"/>
    <s v="Angelica Lewis"/>
    <x v="2"/>
    <s v="New York City"/>
    <x v="36"/>
    <n v="44.339939536446089"/>
  </r>
  <r>
    <s v="B-25944"/>
    <n v="5954"/>
    <n v="2640"/>
    <n v="14"/>
    <x v="0"/>
    <s v="Laptops"/>
    <x v="3"/>
    <d v="2022-10-22T00:00:00"/>
    <s v="Jessica Russell"/>
    <x v="4"/>
    <s v="Dallas"/>
    <x v="15"/>
    <n v="44.339939536446089"/>
  </r>
  <r>
    <s v="B-26980"/>
    <n v="9752"/>
    <n v="3618"/>
    <n v="5"/>
    <x v="2"/>
    <s v="Bookcases"/>
    <x v="1"/>
    <d v="2024-02-21T00:00:00"/>
    <s v="Mary Johnson"/>
    <x v="2"/>
    <s v="Rochester"/>
    <x v="42"/>
    <n v="37.100082034454474"/>
  </r>
  <r>
    <s v="B-26980"/>
    <n v="9752"/>
    <n v="3618"/>
    <n v="5"/>
    <x v="2"/>
    <s v="Bookcases"/>
    <x v="1"/>
    <d v="2022-10-31T00:00:00"/>
    <s v="Joseph Knight"/>
    <x v="1"/>
    <s v="Peoria"/>
    <x v="15"/>
    <n v="37.100082034454474"/>
  </r>
  <r>
    <s v="B-25780"/>
    <n v="5335"/>
    <n v="322"/>
    <n v="15"/>
    <x v="0"/>
    <s v="Electronic Games"/>
    <x v="4"/>
    <d v="2022-05-15T00:00:00"/>
    <s v="Jessica Greene"/>
    <x v="2"/>
    <s v="New York City"/>
    <x v="37"/>
    <n v="6.0356138706654168"/>
  </r>
  <r>
    <s v="B-25964"/>
    <n v="1454"/>
    <n v="80"/>
    <n v="20"/>
    <x v="0"/>
    <s v="Electronic Games"/>
    <x v="3"/>
    <d v="2022-07-22T00:00:00"/>
    <s v="Vincent Perez"/>
    <x v="2"/>
    <s v="Rochester"/>
    <x v="58"/>
    <n v="5.5020632737276474"/>
  </r>
  <r>
    <s v="B-26767"/>
    <n v="6724"/>
    <n v="1539"/>
    <n v="19"/>
    <x v="2"/>
    <s v="Bookcases"/>
    <x v="4"/>
    <d v="2021-12-13T00:00:00"/>
    <s v="Dennis Rivera"/>
    <x v="3"/>
    <s v="San Francisco"/>
    <x v="13"/>
    <n v="22.888161808447354"/>
  </r>
  <r>
    <s v="B-26767"/>
    <n v="6724"/>
    <n v="1539"/>
    <n v="19"/>
    <x v="2"/>
    <s v="Bookcases"/>
    <x v="4"/>
    <d v="2021-06-03T00:00:00"/>
    <s v="Nancy Keller"/>
    <x v="4"/>
    <s v="Dallas"/>
    <x v="22"/>
    <n v="22.888161808447354"/>
  </r>
  <r>
    <s v="B-25501"/>
    <n v="9874"/>
    <n v="3895"/>
    <n v="4"/>
    <x v="1"/>
    <s v="Binders"/>
    <x v="2"/>
    <d v="2025-02-24T00:00:00"/>
    <s v="Michelle Anderson"/>
    <x v="5"/>
    <s v="Cleveland"/>
    <x v="9"/>
    <n v="39.447032610897303"/>
  </r>
  <r>
    <s v="B-26029"/>
    <n v="4918"/>
    <n v="1485"/>
    <n v="7"/>
    <x v="0"/>
    <s v="Phones"/>
    <x v="0"/>
    <d v="2023-02-02T00:00:00"/>
    <s v="Anthony May"/>
    <x v="0"/>
    <s v="Tampa"/>
    <x v="14"/>
    <n v="30.195201301342006"/>
  </r>
  <r>
    <s v="B-25292"/>
    <n v="3189"/>
    <n v="1180"/>
    <n v="19"/>
    <x v="1"/>
    <s v="Paper"/>
    <x v="3"/>
    <d v="2021-12-31T00:00:00"/>
    <s v="Michelle Guerra"/>
    <x v="2"/>
    <s v="New York City"/>
    <x v="13"/>
    <n v="37.002195045468802"/>
  </r>
  <r>
    <s v="B-25873"/>
    <n v="2684"/>
    <n v="713"/>
    <n v="2"/>
    <x v="0"/>
    <s v="Electronic Games"/>
    <x v="0"/>
    <d v="2024-06-15T00:00:00"/>
    <s v="Meghan Ballard"/>
    <x v="2"/>
    <s v="New York City"/>
    <x v="47"/>
    <n v="26.564828614008938"/>
  </r>
  <r>
    <s v="B-25873"/>
    <n v="2684"/>
    <n v="713"/>
    <n v="2"/>
    <x v="0"/>
    <s v="Electronic Games"/>
    <x v="0"/>
    <d v="2022-06-05T00:00:00"/>
    <s v="Brian Wheeler"/>
    <x v="2"/>
    <s v="Buffalo"/>
    <x v="33"/>
    <n v="26.564828614008938"/>
  </r>
  <r>
    <s v="B-25873"/>
    <n v="2684"/>
    <n v="713"/>
    <n v="2"/>
    <x v="0"/>
    <s v="Electronic Games"/>
    <x v="0"/>
    <d v="2020-05-11T00:00:00"/>
    <s v="William Rosario"/>
    <x v="4"/>
    <s v="Dallas"/>
    <x v="8"/>
    <n v="26.564828614008938"/>
  </r>
  <r>
    <s v="B-25444"/>
    <n v="7626"/>
    <n v="229"/>
    <n v="5"/>
    <x v="1"/>
    <s v="Pens"/>
    <x v="2"/>
    <d v="2024-02-11T00:00:00"/>
    <s v="Jessica Hunt"/>
    <x v="1"/>
    <s v="Springfield"/>
    <x v="42"/>
    <n v="3.002884867558353"/>
  </r>
  <r>
    <s v="B-25444"/>
    <n v="7626"/>
    <n v="229"/>
    <n v="5"/>
    <x v="1"/>
    <s v="Pens"/>
    <x v="2"/>
    <d v="2020-11-25T00:00:00"/>
    <s v="Tony Chavez"/>
    <x v="5"/>
    <s v="Columbus"/>
    <x v="11"/>
    <n v="3.002884867558353"/>
  </r>
  <r>
    <s v="B-26796"/>
    <n v="6669"/>
    <n v="3063"/>
    <n v="19"/>
    <x v="0"/>
    <s v="Printers"/>
    <x v="0"/>
    <d v="2023-08-12T00:00:00"/>
    <s v="Mary Crawford"/>
    <x v="5"/>
    <s v="Cincinnati"/>
    <x v="21"/>
    <n v="45.928924876293294"/>
  </r>
  <r>
    <s v="B-25537"/>
    <n v="6123"/>
    <n v="1686"/>
    <n v="3"/>
    <x v="1"/>
    <s v="Markers"/>
    <x v="3"/>
    <d v="2022-05-06T00:00:00"/>
    <s v="Roger Morrison"/>
    <x v="5"/>
    <s v="Cincinnati"/>
    <x v="37"/>
    <n v="27.535521803037728"/>
  </r>
  <r>
    <s v="B-26083"/>
    <n v="3265"/>
    <n v="1390"/>
    <n v="16"/>
    <x v="1"/>
    <s v="Paper"/>
    <x v="3"/>
    <d v="2024-01-17T00:00:00"/>
    <s v="Bethany Harrison"/>
    <x v="3"/>
    <s v="Los Angeles"/>
    <x v="10"/>
    <n v="42.572741194486987"/>
  </r>
  <r>
    <s v="B-25298"/>
    <n v="8104"/>
    <n v="1039"/>
    <n v="6"/>
    <x v="1"/>
    <s v="Markers"/>
    <x v="4"/>
    <d v="2021-11-24T00:00:00"/>
    <s v="Lisa Mcintyre"/>
    <x v="0"/>
    <s v="Orlando"/>
    <x v="35"/>
    <n v="12.820829220138203"/>
  </r>
  <r>
    <s v="B-25298"/>
    <n v="8104"/>
    <n v="1039"/>
    <n v="6"/>
    <x v="1"/>
    <s v="Markers"/>
    <x v="4"/>
    <d v="2021-10-06T00:00:00"/>
    <s v="Carolyn Gonzalez"/>
    <x v="0"/>
    <s v="Miami"/>
    <x v="4"/>
    <n v="12.820829220138203"/>
  </r>
  <r>
    <s v="B-25298"/>
    <n v="8104"/>
    <n v="1039"/>
    <n v="6"/>
    <x v="1"/>
    <s v="Markers"/>
    <x v="4"/>
    <d v="2025-01-27T00:00:00"/>
    <s v="Christina Oconnell"/>
    <x v="3"/>
    <s v="San Francisco"/>
    <x v="52"/>
    <n v="12.820829220138203"/>
  </r>
  <r>
    <s v="B-26734"/>
    <n v="847"/>
    <n v="355"/>
    <n v="17"/>
    <x v="2"/>
    <s v="Tables"/>
    <x v="4"/>
    <d v="2022-05-23T00:00:00"/>
    <s v="James Garcia"/>
    <x v="2"/>
    <s v="Buffalo"/>
    <x v="37"/>
    <n v="41.912632821723733"/>
  </r>
  <r>
    <s v="B-26734"/>
    <n v="847"/>
    <n v="355"/>
    <n v="17"/>
    <x v="2"/>
    <s v="Tables"/>
    <x v="4"/>
    <d v="2023-11-28T00:00:00"/>
    <s v="Emily Frederick"/>
    <x v="4"/>
    <s v="Austin"/>
    <x v="6"/>
    <n v="41.912632821723733"/>
  </r>
  <r>
    <s v="B-26734"/>
    <n v="847"/>
    <n v="355"/>
    <n v="17"/>
    <x v="2"/>
    <s v="Tables"/>
    <x v="4"/>
    <d v="2023-01-18T00:00:00"/>
    <s v="Shawn Wise"/>
    <x v="3"/>
    <s v="San Francisco"/>
    <x v="54"/>
    <n v="41.912632821723733"/>
  </r>
  <r>
    <s v="B-25483"/>
    <n v="3129"/>
    <n v="55"/>
    <n v="9"/>
    <x v="2"/>
    <s v="Bookcases"/>
    <x v="1"/>
    <d v="2021-09-06T00:00:00"/>
    <s v="Carrie Alvarez"/>
    <x v="1"/>
    <s v="Peoria"/>
    <x v="43"/>
    <n v="1.757750079897731"/>
  </r>
  <r>
    <s v="B-25483"/>
    <n v="7821"/>
    <n v="3821"/>
    <n v="13"/>
    <x v="0"/>
    <s v="Laptops"/>
    <x v="2"/>
    <d v="2021-09-06T00:00:00"/>
    <s v="Carrie Alvarez"/>
    <x v="1"/>
    <s v="Peoria"/>
    <x v="43"/>
    <n v="48.855645058176705"/>
  </r>
  <r>
    <s v="B-26041"/>
    <n v="9498"/>
    <n v="256"/>
    <n v="12"/>
    <x v="0"/>
    <s v="Phones"/>
    <x v="4"/>
    <d v="2021-02-22T00:00:00"/>
    <s v="Matthew James"/>
    <x v="1"/>
    <s v="Peoria"/>
    <x v="51"/>
    <n v="2.6953042745841227"/>
  </r>
  <r>
    <s v="B-26041"/>
    <n v="9498"/>
    <n v="256"/>
    <n v="12"/>
    <x v="0"/>
    <s v="Phones"/>
    <x v="4"/>
    <d v="2021-10-06T00:00:00"/>
    <s v="Jerry Alvarado"/>
    <x v="2"/>
    <s v="New York City"/>
    <x v="4"/>
    <n v="2.6953042745841227"/>
  </r>
  <r>
    <s v="B-26750"/>
    <n v="5461"/>
    <n v="1214"/>
    <n v="7"/>
    <x v="2"/>
    <s v="Sofas"/>
    <x v="3"/>
    <d v="2020-06-07T00:00:00"/>
    <s v="Paul Zimmerman"/>
    <x v="2"/>
    <s v="Rochester"/>
    <x v="53"/>
    <n v="22.230360739791248"/>
  </r>
  <r>
    <s v="B-26138"/>
    <n v="3084"/>
    <n v="611"/>
    <n v="19"/>
    <x v="2"/>
    <s v="Bookcases"/>
    <x v="0"/>
    <d v="2024-05-21T00:00:00"/>
    <s v="Carl Ryan"/>
    <x v="4"/>
    <s v="Dallas"/>
    <x v="3"/>
    <n v="19.811932555123217"/>
  </r>
  <r>
    <s v="B-26929"/>
    <n v="6087"/>
    <n v="3043"/>
    <n v="1"/>
    <x v="2"/>
    <s v="Sofas"/>
    <x v="4"/>
    <d v="2020-08-05T00:00:00"/>
    <s v="Kelly Roberts"/>
    <x v="2"/>
    <s v="Buffalo"/>
    <x v="38"/>
    <n v="49.991785772958764"/>
  </r>
  <r>
    <s v="B-25359"/>
    <n v="611"/>
    <n v="300"/>
    <n v="3"/>
    <x v="2"/>
    <s v="Bookcases"/>
    <x v="3"/>
    <d v="2020-10-15T00:00:00"/>
    <s v="Jack Woods"/>
    <x v="1"/>
    <s v="Peoria"/>
    <x v="20"/>
    <n v="49.099836333878891"/>
  </r>
  <r>
    <s v="B-25738"/>
    <n v="9909"/>
    <n v="2999"/>
    <n v="18"/>
    <x v="1"/>
    <s v="Markers"/>
    <x v="4"/>
    <d v="2021-05-15T00:00:00"/>
    <s v="Albert Alexander Jr."/>
    <x v="5"/>
    <s v="Cleveland"/>
    <x v="18"/>
    <n v="30.26541527903926"/>
  </r>
  <r>
    <s v="B-25738"/>
    <n v="9909"/>
    <n v="2999"/>
    <n v="18"/>
    <x v="1"/>
    <s v="Markers"/>
    <x v="4"/>
    <d v="2022-01-13T00:00:00"/>
    <s v="Teresa Perez"/>
    <x v="4"/>
    <s v="Austin"/>
    <x v="12"/>
    <n v="30.26541527903926"/>
  </r>
  <r>
    <s v="B-25931"/>
    <n v="6485"/>
    <n v="3178"/>
    <n v="18"/>
    <x v="2"/>
    <s v="Sofas"/>
    <x v="0"/>
    <d v="2023-07-18T00:00:00"/>
    <s v="Amanda Williams"/>
    <x v="5"/>
    <s v="Columbus"/>
    <x v="17"/>
    <n v="49.005397070161912"/>
  </r>
  <r>
    <s v="B-25706"/>
    <n v="7259"/>
    <n v="1969"/>
    <n v="10"/>
    <x v="0"/>
    <s v="Laptops"/>
    <x v="3"/>
    <d v="2022-12-08T00:00:00"/>
    <s v="Kristen Lawson"/>
    <x v="1"/>
    <s v="Springfield"/>
    <x v="29"/>
    <n v="27.124948339991732"/>
  </r>
  <r>
    <s v="B-25352"/>
    <n v="3333"/>
    <n v="700"/>
    <n v="18"/>
    <x v="0"/>
    <s v="Printers"/>
    <x v="4"/>
    <d v="2023-04-17T00:00:00"/>
    <s v="Jacob Stewart"/>
    <x v="0"/>
    <s v="Miami"/>
    <x v="28"/>
    <n v="21.002100210021002"/>
  </r>
  <r>
    <s v="B-26909"/>
    <n v="7786"/>
    <n v="1202"/>
    <n v="4"/>
    <x v="2"/>
    <s v="Sofas"/>
    <x v="2"/>
    <d v="2020-06-23T00:00:00"/>
    <s v="Daniel Brooks"/>
    <x v="1"/>
    <s v="Peoria"/>
    <x v="53"/>
    <n v="15.437965579244798"/>
  </r>
  <r>
    <s v="B-26296"/>
    <n v="7644"/>
    <n v="2428"/>
    <n v="6"/>
    <x v="0"/>
    <s v="Phones"/>
    <x v="1"/>
    <d v="2022-01-20T00:00:00"/>
    <s v="Aaron Dunn"/>
    <x v="1"/>
    <s v="Springfield"/>
    <x v="12"/>
    <n v="31.763474620617476"/>
  </r>
  <r>
    <s v="B-26112"/>
    <n v="1476"/>
    <n v="247"/>
    <n v="5"/>
    <x v="2"/>
    <s v="Bookcases"/>
    <x v="4"/>
    <d v="2023-11-18T00:00:00"/>
    <s v="Jacob Martinez"/>
    <x v="3"/>
    <s v="Los Angeles"/>
    <x v="6"/>
    <n v="16.734417344173441"/>
  </r>
  <r>
    <s v="B-26112"/>
    <n v="1476"/>
    <n v="247"/>
    <n v="5"/>
    <x v="2"/>
    <s v="Bookcases"/>
    <x v="4"/>
    <d v="2022-01-19T00:00:00"/>
    <s v="Raymond Burgess"/>
    <x v="3"/>
    <s v="San Diego"/>
    <x v="12"/>
    <n v="16.734417344173441"/>
  </r>
  <r>
    <s v="B-26790"/>
    <n v="3445"/>
    <n v="1405"/>
    <n v="16"/>
    <x v="2"/>
    <s v="Sofas"/>
    <x v="2"/>
    <d v="2020-09-21T00:00:00"/>
    <s v="Jennifer Cooke"/>
    <x v="3"/>
    <s v="San Francisco"/>
    <x v="57"/>
    <n v="40.783744557329463"/>
  </r>
  <r>
    <s v="B-26790"/>
    <n v="9837"/>
    <n v="384"/>
    <n v="1"/>
    <x v="0"/>
    <s v="Laptops"/>
    <x v="0"/>
    <d v="2020-09-21T00:00:00"/>
    <s v="Jennifer Cooke"/>
    <x v="3"/>
    <s v="San Francisco"/>
    <x v="57"/>
    <n v="3.9036291552302531"/>
  </r>
  <r>
    <s v="B-25986"/>
    <n v="1314"/>
    <n v="457"/>
    <n v="8"/>
    <x v="2"/>
    <s v="Sofas"/>
    <x v="2"/>
    <d v="2021-06-11T00:00:00"/>
    <s v="Tyrone White"/>
    <x v="3"/>
    <s v="San Diego"/>
    <x v="22"/>
    <n v="34.779299847792998"/>
  </r>
  <r>
    <s v="B-25630"/>
    <n v="5951"/>
    <n v="936"/>
    <n v="6"/>
    <x v="0"/>
    <s v="Laptops"/>
    <x v="1"/>
    <d v="2024-08-07T00:00:00"/>
    <s v="Charles Williams"/>
    <x v="4"/>
    <s v="Dallas"/>
    <x v="19"/>
    <n v="15.728449000168037"/>
  </r>
  <r>
    <s v="B-25630"/>
    <n v="5951"/>
    <n v="936"/>
    <n v="6"/>
    <x v="0"/>
    <s v="Laptops"/>
    <x v="1"/>
    <d v="2022-07-26T00:00:00"/>
    <s v="Amy Page"/>
    <x v="5"/>
    <s v="Columbus"/>
    <x v="58"/>
    <n v="15.728449000168037"/>
  </r>
  <r>
    <s v="B-26872"/>
    <n v="992"/>
    <n v="177"/>
    <n v="6"/>
    <x v="0"/>
    <s v="Phones"/>
    <x v="0"/>
    <d v="2024-01-13T00:00:00"/>
    <s v="Scott Gibbs"/>
    <x v="3"/>
    <s v="Los Angeles"/>
    <x v="10"/>
    <n v="17.842741935483872"/>
  </r>
  <r>
    <s v="B-26872"/>
    <n v="4699"/>
    <n v="625"/>
    <n v="18"/>
    <x v="1"/>
    <s v="Markers"/>
    <x v="2"/>
    <d v="2024-01-13T00:00:00"/>
    <s v="Scott Gibbs"/>
    <x v="3"/>
    <s v="Los Angeles"/>
    <x v="10"/>
    <n v="13.300702277080228"/>
  </r>
  <r>
    <s v="B-25870"/>
    <n v="5557"/>
    <n v="2114"/>
    <n v="17"/>
    <x v="0"/>
    <s v="Laptops"/>
    <x v="2"/>
    <d v="2021-05-28T00:00:00"/>
    <s v="Angela Roberts"/>
    <x v="5"/>
    <s v="Cleveland"/>
    <x v="18"/>
    <n v="38.04210905164657"/>
  </r>
  <r>
    <s v="B-25991"/>
    <n v="3436"/>
    <n v="933"/>
    <n v="3"/>
    <x v="0"/>
    <s v="Electronic Games"/>
    <x v="3"/>
    <d v="2021-06-13T00:00:00"/>
    <s v="Kyle Hernandez"/>
    <x v="4"/>
    <s v="Dallas"/>
    <x v="22"/>
    <n v="27.153667054714788"/>
  </r>
  <r>
    <s v="B-25198"/>
    <n v="9840"/>
    <n v="3870"/>
    <n v="11"/>
    <x v="0"/>
    <s v="Printers"/>
    <x v="1"/>
    <d v="2023-04-25T00:00:00"/>
    <s v="Cynthia Ferguson"/>
    <x v="4"/>
    <s v="Austin"/>
    <x v="28"/>
    <n v="39.329268292682926"/>
  </r>
  <r>
    <s v="B-25189"/>
    <n v="7620"/>
    <n v="125"/>
    <n v="4"/>
    <x v="1"/>
    <s v="Paper"/>
    <x v="2"/>
    <d v="2021-07-05T00:00:00"/>
    <s v="Brandi Garcia"/>
    <x v="3"/>
    <s v="San Francisco"/>
    <x v="2"/>
    <n v="1.6404199475065617"/>
  </r>
  <r>
    <s v="B-25189"/>
    <n v="7620"/>
    <n v="125"/>
    <n v="4"/>
    <x v="1"/>
    <s v="Paper"/>
    <x v="2"/>
    <d v="2024-10-12T00:00:00"/>
    <s v="Matthew Blake"/>
    <x v="3"/>
    <s v="San Francisco"/>
    <x v="56"/>
    <n v="1.6404199475065617"/>
  </r>
  <r>
    <s v="B-26563"/>
    <n v="4314"/>
    <n v="1591"/>
    <n v="5"/>
    <x v="2"/>
    <s v="Tables"/>
    <x v="1"/>
    <d v="2021-10-04T00:00:00"/>
    <s v="Lauren Howell"/>
    <x v="2"/>
    <s v="Buffalo"/>
    <x v="4"/>
    <n v="36.879925822902173"/>
  </r>
  <r>
    <s v="B-25548"/>
    <n v="8851"/>
    <n v="999"/>
    <n v="12"/>
    <x v="0"/>
    <s v="Laptops"/>
    <x v="0"/>
    <d v="2024-02-07T00:00:00"/>
    <s v="Joseph Wilson"/>
    <x v="5"/>
    <s v="Cincinnati"/>
    <x v="42"/>
    <n v="11.286860241780589"/>
  </r>
  <r>
    <s v="B-25965"/>
    <n v="544"/>
    <n v="272"/>
    <n v="2"/>
    <x v="0"/>
    <s v="Laptops"/>
    <x v="1"/>
    <d v="2021-03-05T00:00:00"/>
    <s v="Tanner Vance"/>
    <x v="4"/>
    <s v="Houston"/>
    <x v="34"/>
    <n v="50"/>
  </r>
  <r>
    <s v="B-25965"/>
    <n v="544"/>
    <n v="272"/>
    <n v="2"/>
    <x v="0"/>
    <s v="Laptops"/>
    <x v="1"/>
    <d v="2023-06-25T00:00:00"/>
    <s v="Michael Nash"/>
    <x v="2"/>
    <s v="Buffalo"/>
    <x v="0"/>
    <n v="50"/>
  </r>
  <r>
    <s v="B-26545"/>
    <n v="537"/>
    <n v="142"/>
    <n v="20"/>
    <x v="1"/>
    <s v="Markers"/>
    <x v="2"/>
    <d v="2021-08-02T00:00:00"/>
    <s v="Brent Thomas"/>
    <x v="1"/>
    <s v="Peoria"/>
    <x v="36"/>
    <n v="26.443202979515828"/>
  </r>
  <r>
    <s v="B-26603"/>
    <n v="5944"/>
    <n v="2661"/>
    <n v="7"/>
    <x v="0"/>
    <s v="Laptops"/>
    <x v="2"/>
    <d v="2022-03-17T00:00:00"/>
    <s v="Harold Mitchell"/>
    <x v="4"/>
    <s v="Austin"/>
    <x v="25"/>
    <n v="44.767833109017495"/>
  </r>
  <r>
    <s v="B-26393"/>
    <n v="2258"/>
    <n v="135"/>
    <n v="18"/>
    <x v="0"/>
    <s v="Printers"/>
    <x v="3"/>
    <d v="2024-02-07T00:00:00"/>
    <s v="Ashley Palmer"/>
    <x v="0"/>
    <s v="Miami"/>
    <x v="42"/>
    <n v="5.9787422497785654"/>
  </r>
  <r>
    <s v="B-26393"/>
    <n v="2258"/>
    <n v="135"/>
    <n v="18"/>
    <x v="0"/>
    <s v="Printers"/>
    <x v="3"/>
    <d v="2022-08-19T00:00:00"/>
    <s v="Stephen Hogan"/>
    <x v="3"/>
    <s v="San Diego"/>
    <x v="40"/>
    <n v="5.9787422497785654"/>
  </r>
  <r>
    <s v="B-26628"/>
    <n v="9609"/>
    <n v="4339"/>
    <n v="3"/>
    <x v="2"/>
    <s v="Sofas"/>
    <x v="1"/>
    <d v="2024-09-19T00:00:00"/>
    <s v="George Ashley"/>
    <x v="4"/>
    <s v="Houston"/>
    <x v="31"/>
    <n v="45.155583307316064"/>
  </r>
  <r>
    <s v="B-26628"/>
    <n v="9609"/>
    <n v="4339"/>
    <n v="3"/>
    <x v="2"/>
    <s v="Sofas"/>
    <x v="1"/>
    <d v="2020-04-05T00:00:00"/>
    <s v="Sara Bailey"/>
    <x v="5"/>
    <s v="Cincinnati"/>
    <x v="32"/>
    <n v="45.155583307316064"/>
  </r>
  <r>
    <s v="B-25945"/>
    <n v="9952"/>
    <n v="3301"/>
    <n v="15"/>
    <x v="0"/>
    <s v="Electronic Games"/>
    <x v="1"/>
    <d v="2023-03-10T00:00:00"/>
    <s v="Tanya Thomas MD"/>
    <x v="4"/>
    <s v="Dallas"/>
    <x v="45"/>
    <n v="33.16921221864952"/>
  </r>
  <r>
    <s v="B-26565"/>
    <n v="9873"/>
    <n v="4585"/>
    <n v="7"/>
    <x v="1"/>
    <s v="Paper"/>
    <x v="3"/>
    <d v="2020-08-10T00:00:00"/>
    <s v="Maria Galvan"/>
    <x v="5"/>
    <s v="Columbus"/>
    <x v="38"/>
    <n v="46.439785272966674"/>
  </r>
  <r>
    <s v="B-25684"/>
    <n v="3560"/>
    <n v="1335"/>
    <n v="15"/>
    <x v="0"/>
    <s v="Electronic Games"/>
    <x v="4"/>
    <d v="2020-04-29T00:00:00"/>
    <s v="Duane Kelly"/>
    <x v="2"/>
    <s v="New York City"/>
    <x v="32"/>
    <n v="37.5"/>
  </r>
  <r>
    <s v="B-25684"/>
    <n v="3560"/>
    <n v="1335"/>
    <n v="15"/>
    <x v="0"/>
    <s v="Electronic Games"/>
    <x v="4"/>
    <d v="2023-03-16T00:00:00"/>
    <s v="Frank Reynolds"/>
    <x v="1"/>
    <s v="Springfield"/>
    <x v="45"/>
    <n v="37.5"/>
  </r>
  <r>
    <s v="B-26612"/>
    <n v="6528"/>
    <n v="76"/>
    <n v="9"/>
    <x v="0"/>
    <s v="Phones"/>
    <x v="1"/>
    <d v="2020-05-04T00:00:00"/>
    <s v="Aaron Kim"/>
    <x v="2"/>
    <s v="Buffalo"/>
    <x v="8"/>
    <n v="1.1642156862745099"/>
  </r>
  <r>
    <s v="B-26612"/>
    <n v="8930"/>
    <n v="3374"/>
    <n v="12"/>
    <x v="2"/>
    <s v="Sofas"/>
    <x v="1"/>
    <d v="2020-05-04T00:00:00"/>
    <s v="Aaron Kim"/>
    <x v="2"/>
    <s v="Buffalo"/>
    <x v="8"/>
    <n v="37.782754759238522"/>
  </r>
  <r>
    <s v="B-25839"/>
    <n v="4521"/>
    <n v="1778"/>
    <n v="9"/>
    <x v="1"/>
    <s v="Paper"/>
    <x v="1"/>
    <d v="2024-10-15T00:00:00"/>
    <s v="David Allen"/>
    <x v="0"/>
    <s v="Tampa"/>
    <x v="56"/>
    <n v="39.327582393275826"/>
  </r>
  <r>
    <s v="B-25898"/>
    <n v="7091"/>
    <n v="2317"/>
    <n v="10"/>
    <x v="2"/>
    <s v="Sofas"/>
    <x v="3"/>
    <d v="2022-06-09T00:00:00"/>
    <s v="Monica Lee"/>
    <x v="3"/>
    <s v="San Diego"/>
    <x v="33"/>
    <n v="32.675222112537014"/>
  </r>
  <r>
    <s v="B-26120"/>
    <n v="2101"/>
    <n v="287"/>
    <n v="8"/>
    <x v="1"/>
    <s v="Pens"/>
    <x v="4"/>
    <d v="2020-07-04T00:00:00"/>
    <s v="Kimberly Fuller"/>
    <x v="5"/>
    <s v="Cleveland"/>
    <x v="60"/>
    <n v="13.660161827701096"/>
  </r>
  <r>
    <s v="B-26120"/>
    <n v="2101"/>
    <n v="287"/>
    <n v="8"/>
    <x v="1"/>
    <s v="Pens"/>
    <x v="4"/>
    <d v="2023-04-09T00:00:00"/>
    <s v="Erica Scott"/>
    <x v="1"/>
    <s v="Chicago"/>
    <x v="28"/>
    <n v="13.660161827701096"/>
  </r>
  <r>
    <s v="B-26426"/>
    <n v="8644"/>
    <n v="1968"/>
    <n v="9"/>
    <x v="1"/>
    <s v="Paper"/>
    <x v="1"/>
    <d v="2023-11-24T00:00:00"/>
    <s v="Melissa Mitchell"/>
    <x v="1"/>
    <s v="Chicago"/>
    <x v="6"/>
    <n v="22.767237390097179"/>
  </r>
  <r>
    <s v="B-26309"/>
    <n v="6672"/>
    <n v="3319"/>
    <n v="4"/>
    <x v="2"/>
    <s v="Tables"/>
    <x v="0"/>
    <d v="2023-11-29T00:00:00"/>
    <s v="Joshua Murray"/>
    <x v="4"/>
    <s v="Dallas"/>
    <x v="6"/>
    <n v="49.745203836930457"/>
  </r>
  <r>
    <s v="B-26309"/>
    <n v="6672"/>
    <n v="3319"/>
    <n v="4"/>
    <x v="2"/>
    <s v="Tables"/>
    <x v="0"/>
    <d v="2024-05-20T00:00:00"/>
    <s v="John Jones"/>
    <x v="3"/>
    <s v="San Diego"/>
    <x v="3"/>
    <n v="49.745203836930457"/>
  </r>
  <r>
    <s v="B-26789"/>
    <n v="4699"/>
    <n v="103"/>
    <n v="12"/>
    <x v="1"/>
    <s v="Binders"/>
    <x v="0"/>
    <d v="2024-05-21T00:00:00"/>
    <s v="Cheryl Johnson"/>
    <x v="5"/>
    <s v="Cincinnati"/>
    <x v="3"/>
    <n v="2.1919557352628218"/>
  </r>
  <r>
    <s v="B-26420"/>
    <n v="4897"/>
    <n v="1001"/>
    <n v="14"/>
    <x v="2"/>
    <s v="Sofas"/>
    <x v="1"/>
    <d v="2021-12-07T00:00:00"/>
    <s v="Lisa Farmer"/>
    <x v="4"/>
    <s v="Houston"/>
    <x v="13"/>
    <n v="20.441086379415967"/>
  </r>
  <r>
    <s v="B-26420"/>
    <n v="4897"/>
    <n v="1001"/>
    <n v="14"/>
    <x v="2"/>
    <s v="Sofas"/>
    <x v="1"/>
    <d v="2025-01-06T00:00:00"/>
    <s v="Christopher Walker"/>
    <x v="5"/>
    <s v="Cincinnati"/>
    <x v="52"/>
    <n v="20.441086379415967"/>
  </r>
  <r>
    <s v="B-26257"/>
    <n v="5460"/>
    <n v="2088"/>
    <n v="14"/>
    <x v="2"/>
    <s v="Tables"/>
    <x v="1"/>
    <d v="2022-07-13T00:00:00"/>
    <s v="Elizabeth Coffey"/>
    <x v="2"/>
    <s v="Buffalo"/>
    <x v="58"/>
    <n v="38.241758241758241"/>
  </r>
  <r>
    <s v="B-26257"/>
    <n v="5460"/>
    <n v="2088"/>
    <n v="14"/>
    <x v="2"/>
    <s v="Tables"/>
    <x v="1"/>
    <d v="2020-04-19T00:00:00"/>
    <s v="Joseph Clark"/>
    <x v="5"/>
    <s v="Cincinnati"/>
    <x v="32"/>
    <n v="38.241758241758241"/>
  </r>
  <r>
    <s v="B-25603"/>
    <n v="9272"/>
    <n v="1771"/>
    <n v="19"/>
    <x v="1"/>
    <s v="Markers"/>
    <x v="0"/>
    <d v="2024-11-14T00:00:00"/>
    <s v="Jamie Brewer"/>
    <x v="1"/>
    <s v="Springfield"/>
    <x v="46"/>
    <n v="19.100517687661778"/>
  </r>
  <r>
    <s v="B-25603"/>
    <n v="9272"/>
    <n v="1771"/>
    <n v="19"/>
    <x v="1"/>
    <s v="Markers"/>
    <x v="0"/>
    <d v="2020-04-18T00:00:00"/>
    <s v="Lauren Boyer"/>
    <x v="4"/>
    <s v="Dallas"/>
    <x v="32"/>
    <n v="19.100517687661778"/>
  </r>
  <r>
    <s v="B-25010"/>
    <n v="7870"/>
    <n v="1057"/>
    <n v="15"/>
    <x v="1"/>
    <s v="Pens"/>
    <x v="3"/>
    <d v="2023-10-18T00:00:00"/>
    <s v="Howard Esparza"/>
    <x v="4"/>
    <s v="Houston"/>
    <x v="59"/>
    <n v="13.430749682337991"/>
  </r>
  <r>
    <s v="B-25010"/>
    <n v="7870"/>
    <n v="1057"/>
    <n v="15"/>
    <x v="1"/>
    <s v="Pens"/>
    <x v="3"/>
    <d v="2021-03-21T00:00:00"/>
    <s v="James Hickman"/>
    <x v="5"/>
    <s v="Cleveland"/>
    <x v="34"/>
    <n v="13.430749682337991"/>
  </r>
  <r>
    <s v="B-25889"/>
    <n v="7992"/>
    <n v="893"/>
    <n v="12"/>
    <x v="0"/>
    <s v="Laptops"/>
    <x v="3"/>
    <d v="2024-09-13T00:00:00"/>
    <s v="Jennifer Hernandez"/>
    <x v="5"/>
    <s v="Cleveland"/>
    <x v="31"/>
    <n v="11.173673673673672"/>
  </r>
  <r>
    <s v="B-25889"/>
    <n v="7992"/>
    <n v="893"/>
    <n v="12"/>
    <x v="0"/>
    <s v="Laptops"/>
    <x v="3"/>
    <d v="2023-05-04T00:00:00"/>
    <s v="Shannon Warren"/>
    <x v="2"/>
    <s v="New York City"/>
    <x v="23"/>
    <n v="11.173673673673672"/>
  </r>
  <r>
    <s v="B-25889"/>
    <n v="7992"/>
    <n v="893"/>
    <n v="12"/>
    <x v="0"/>
    <s v="Laptops"/>
    <x v="3"/>
    <d v="2023-05-31T00:00:00"/>
    <s v="Ashley Aguilar"/>
    <x v="1"/>
    <s v="Chicago"/>
    <x v="23"/>
    <n v="11.173673673673672"/>
  </r>
  <r>
    <s v="B-26675"/>
    <n v="6499"/>
    <n v="2189"/>
    <n v="18"/>
    <x v="0"/>
    <s v="Electronic Games"/>
    <x v="2"/>
    <d v="2024-06-15T00:00:00"/>
    <s v="Daniel Price"/>
    <x v="2"/>
    <s v="New York City"/>
    <x v="47"/>
    <n v="33.682104939221418"/>
  </r>
  <r>
    <s v="B-26675"/>
    <n v="6499"/>
    <n v="2189"/>
    <n v="18"/>
    <x v="0"/>
    <s v="Electronic Games"/>
    <x v="2"/>
    <d v="2021-04-03T00:00:00"/>
    <s v="James Perez"/>
    <x v="0"/>
    <s v="Orlando"/>
    <x v="27"/>
    <n v="33.682104939221418"/>
  </r>
  <r>
    <s v="B-26168"/>
    <n v="8848"/>
    <n v="2090"/>
    <n v="9"/>
    <x v="1"/>
    <s v="Pens"/>
    <x v="1"/>
    <d v="2025-01-14T00:00:00"/>
    <s v="Jerry Smith"/>
    <x v="3"/>
    <s v="San Diego"/>
    <x v="52"/>
    <n v="23.621157323688969"/>
  </r>
  <r>
    <s v="B-25436"/>
    <n v="8044"/>
    <n v="3634"/>
    <n v="3"/>
    <x v="1"/>
    <s v="Markers"/>
    <x v="4"/>
    <d v="2020-12-24T00:00:00"/>
    <s v="Andre Fernandez"/>
    <x v="0"/>
    <s v="Orlando"/>
    <x v="50"/>
    <n v="45.176529090004976"/>
  </r>
  <r>
    <s v="B-25436"/>
    <n v="8044"/>
    <n v="3634"/>
    <n v="3"/>
    <x v="1"/>
    <s v="Markers"/>
    <x v="4"/>
    <d v="2022-10-07T00:00:00"/>
    <s v="Anthony West"/>
    <x v="3"/>
    <s v="San Diego"/>
    <x v="15"/>
    <n v="45.176529090004976"/>
  </r>
  <r>
    <s v="B-25794"/>
    <n v="7417"/>
    <n v="1334"/>
    <n v="16"/>
    <x v="2"/>
    <s v="Bookcases"/>
    <x v="4"/>
    <d v="2021-10-05T00:00:00"/>
    <s v="Amber Flowers"/>
    <x v="0"/>
    <s v="Tampa"/>
    <x v="4"/>
    <n v="17.985708507482808"/>
  </r>
  <r>
    <s v="B-26495"/>
    <n v="3451"/>
    <n v="658"/>
    <n v="3"/>
    <x v="1"/>
    <s v="Markers"/>
    <x v="0"/>
    <d v="2024-12-28T00:00:00"/>
    <s v="Patricia Davis"/>
    <x v="1"/>
    <s v="Chicago"/>
    <x v="1"/>
    <n v="19.066937119675455"/>
  </r>
  <r>
    <s v="B-25815"/>
    <n v="8531"/>
    <n v="2555"/>
    <n v="4"/>
    <x v="0"/>
    <s v="Laptops"/>
    <x v="2"/>
    <d v="2022-05-14T00:00:00"/>
    <s v="Jasmine Gibbs"/>
    <x v="4"/>
    <s v="Austin"/>
    <x v="37"/>
    <n v="29.949595592544835"/>
  </r>
  <r>
    <s v="B-25022"/>
    <n v="6646"/>
    <n v="848"/>
    <n v="15"/>
    <x v="2"/>
    <s v="Sofas"/>
    <x v="1"/>
    <d v="2023-08-19T00:00:00"/>
    <s v="Nicole Dudley"/>
    <x v="2"/>
    <s v="New York City"/>
    <x v="21"/>
    <n v="12.759554619319891"/>
  </r>
  <r>
    <s v="B-25022"/>
    <n v="6646"/>
    <n v="848"/>
    <n v="15"/>
    <x v="2"/>
    <s v="Sofas"/>
    <x v="1"/>
    <d v="2023-07-14T00:00:00"/>
    <s v="Lori Colon"/>
    <x v="2"/>
    <s v="Buffalo"/>
    <x v="17"/>
    <n v="12.759554619319891"/>
  </r>
  <r>
    <s v="B-26928"/>
    <n v="2553"/>
    <n v="907"/>
    <n v="6"/>
    <x v="0"/>
    <s v="Laptops"/>
    <x v="3"/>
    <d v="2023-06-22T00:00:00"/>
    <s v="William Carr"/>
    <x v="4"/>
    <s v="Dallas"/>
    <x v="0"/>
    <n v="35.526831179005093"/>
  </r>
  <r>
    <s v="B-25905"/>
    <n v="8490"/>
    <n v="3485"/>
    <n v="3"/>
    <x v="0"/>
    <s v="Phones"/>
    <x v="3"/>
    <d v="2023-03-21T00:00:00"/>
    <s v="Jeffrey Dixon"/>
    <x v="2"/>
    <s v="New York City"/>
    <x v="45"/>
    <n v="41.04829210836278"/>
  </r>
  <r>
    <s v="B-26739"/>
    <n v="2689"/>
    <n v="1330"/>
    <n v="3"/>
    <x v="2"/>
    <s v="Tables"/>
    <x v="0"/>
    <d v="2020-12-13T00:00:00"/>
    <s v="Robert Sexton"/>
    <x v="3"/>
    <s v="Los Angeles"/>
    <x v="50"/>
    <n v="49.460766084046114"/>
  </r>
  <r>
    <s v="B-26739"/>
    <n v="2689"/>
    <n v="1330"/>
    <n v="3"/>
    <x v="2"/>
    <s v="Tables"/>
    <x v="0"/>
    <d v="2024-05-29T00:00:00"/>
    <s v="Brooke Gonzalez"/>
    <x v="0"/>
    <s v="Miami"/>
    <x v="3"/>
    <n v="49.460766084046114"/>
  </r>
  <r>
    <s v="B-25697"/>
    <n v="815"/>
    <n v="54"/>
    <n v="14"/>
    <x v="2"/>
    <s v="Tables"/>
    <x v="1"/>
    <d v="2021-05-25T00:00:00"/>
    <s v="Victoria Bryant MD"/>
    <x v="3"/>
    <s v="San Francisco"/>
    <x v="18"/>
    <n v="6.625766871165645"/>
  </r>
  <r>
    <s v="B-25234"/>
    <n v="5024"/>
    <n v="379"/>
    <n v="2"/>
    <x v="1"/>
    <s v="Paper"/>
    <x v="0"/>
    <d v="2024-04-02T00:00:00"/>
    <s v="Nancy Kennedy"/>
    <x v="4"/>
    <s v="Dallas"/>
    <x v="44"/>
    <n v="7.5437898089171975"/>
  </r>
  <r>
    <s v="B-25234"/>
    <n v="5024"/>
    <n v="379"/>
    <n v="2"/>
    <x v="1"/>
    <s v="Paper"/>
    <x v="0"/>
    <d v="2022-12-03T00:00:00"/>
    <s v="Andrew Barry"/>
    <x v="1"/>
    <s v="Peoria"/>
    <x v="29"/>
    <n v="7.5437898089171975"/>
  </r>
  <r>
    <s v="B-25665"/>
    <n v="8962"/>
    <n v="2444"/>
    <n v="18"/>
    <x v="0"/>
    <s v="Electronic Games"/>
    <x v="1"/>
    <d v="2021-07-12T00:00:00"/>
    <s v="Carlos Wheeler"/>
    <x v="5"/>
    <s v="Cleveland"/>
    <x v="2"/>
    <n v="27.270698504798034"/>
  </r>
  <r>
    <s v="B-25665"/>
    <n v="8962"/>
    <n v="2444"/>
    <n v="18"/>
    <x v="0"/>
    <s v="Electronic Games"/>
    <x v="1"/>
    <d v="2020-03-22T00:00:00"/>
    <s v="Isabella Roach"/>
    <x v="1"/>
    <s v="Peoria"/>
    <x v="7"/>
    <n v="27.270698504798034"/>
  </r>
  <r>
    <s v="B-25028"/>
    <n v="1961"/>
    <n v="59"/>
    <n v="12"/>
    <x v="1"/>
    <s v="Binders"/>
    <x v="0"/>
    <d v="2020-08-09T00:00:00"/>
    <s v="Samantha Williams"/>
    <x v="0"/>
    <s v="Orlando"/>
    <x v="38"/>
    <n v="3.0086690464048953"/>
  </r>
  <r>
    <s v="B-26659"/>
    <n v="526"/>
    <n v="83"/>
    <n v="4"/>
    <x v="2"/>
    <s v="Sofas"/>
    <x v="3"/>
    <d v="2022-02-18T00:00:00"/>
    <s v="Samuel Little MD"/>
    <x v="1"/>
    <s v="Chicago"/>
    <x v="26"/>
    <n v="15.779467680608365"/>
  </r>
  <r>
    <s v="B-25966"/>
    <n v="6093"/>
    <n v="3042"/>
    <n v="9"/>
    <x v="2"/>
    <s v="Bookcases"/>
    <x v="1"/>
    <d v="2021-06-14T00:00:00"/>
    <s v="Paul Taylor"/>
    <x v="3"/>
    <s v="San Francisco"/>
    <x v="22"/>
    <n v="49.926144756277694"/>
  </r>
  <r>
    <s v="B-25966"/>
    <n v="6093"/>
    <n v="3042"/>
    <n v="9"/>
    <x v="2"/>
    <s v="Bookcases"/>
    <x v="1"/>
    <d v="2021-03-01T00:00:00"/>
    <s v="Susan Baker"/>
    <x v="3"/>
    <s v="San Diego"/>
    <x v="34"/>
    <n v="49.926144756277694"/>
  </r>
  <r>
    <s v="B-25350"/>
    <n v="7699"/>
    <n v="246"/>
    <n v="5"/>
    <x v="0"/>
    <s v="Electronic Games"/>
    <x v="1"/>
    <d v="2023-09-23T00:00:00"/>
    <s v="Mark Fry"/>
    <x v="4"/>
    <s v="Austin"/>
    <x v="48"/>
    <n v="3.195220158462138"/>
  </r>
  <r>
    <s v="B-26370"/>
    <n v="8825"/>
    <n v="3594"/>
    <n v="15"/>
    <x v="2"/>
    <s v="Tables"/>
    <x v="1"/>
    <d v="2024-07-31T00:00:00"/>
    <s v="Megan Mclean"/>
    <x v="2"/>
    <s v="New York City"/>
    <x v="41"/>
    <n v="40.725212464589234"/>
  </r>
  <r>
    <s v="B-26298"/>
    <n v="2082"/>
    <n v="642"/>
    <n v="8"/>
    <x v="0"/>
    <s v="Phones"/>
    <x v="2"/>
    <d v="2020-06-02T00:00:00"/>
    <s v="Caitlin Hunt"/>
    <x v="2"/>
    <s v="Rochester"/>
    <x v="53"/>
    <n v="30.835734870317005"/>
  </r>
  <r>
    <s v="B-26298"/>
    <n v="2082"/>
    <n v="642"/>
    <n v="8"/>
    <x v="0"/>
    <s v="Phones"/>
    <x v="2"/>
    <d v="2022-12-15T00:00:00"/>
    <s v="Jenna Holland"/>
    <x v="4"/>
    <s v="Austin"/>
    <x v="29"/>
    <n v="30.835734870317005"/>
  </r>
  <r>
    <s v="B-26298"/>
    <n v="2082"/>
    <n v="642"/>
    <n v="8"/>
    <x v="0"/>
    <s v="Phones"/>
    <x v="2"/>
    <d v="2020-08-07T00:00:00"/>
    <s v="Stephanie Oconnell"/>
    <x v="2"/>
    <s v="Buffalo"/>
    <x v="38"/>
    <n v="30.835734870317005"/>
  </r>
  <r>
    <s v="B-25068"/>
    <n v="914"/>
    <n v="163"/>
    <n v="13"/>
    <x v="1"/>
    <s v="Markers"/>
    <x v="0"/>
    <d v="2024-10-26T00:00:00"/>
    <s v="Andrea Hill"/>
    <x v="1"/>
    <s v="Chicago"/>
    <x v="56"/>
    <n v="17.8336980306345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047F8-9F00-4FDC-902B-B78E12DF03D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3:O65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</pivotFields>
  <rowFields count="1">
    <field x="11"/>
  </rowFields>
  <rowItems count="62">
    <i>
      <x v="33"/>
    </i>
    <i>
      <x v="29"/>
    </i>
    <i>
      <x v="40"/>
    </i>
    <i>
      <x v="19"/>
    </i>
    <i>
      <x v="31"/>
    </i>
    <i>
      <x v="20"/>
    </i>
    <i>
      <x v="27"/>
    </i>
    <i>
      <x v="22"/>
    </i>
    <i>
      <x v="26"/>
    </i>
    <i>
      <x v="51"/>
    </i>
    <i>
      <x v="49"/>
    </i>
    <i>
      <x v="45"/>
    </i>
    <i>
      <x v="1"/>
    </i>
    <i>
      <x v="21"/>
    </i>
    <i>
      <x v="52"/>
    </i>
    <i>
      <x v="43"/>
    </i>
    <i>
      <x v="14"/>
    </i>
    <i>
      <x v="48"/>
    </i>
    <i>
      <x v="50"/>
    </i>
    <i>
      <x v="2"/>
    </i>
    <i>
      <x v="58"/>
    </i>
    <i>
      <x v="25"/>
    </i>
    <i>
      <x v="7"/>
    </i>
    <i>
      <x v="6"/>
    </i>
    <i>
      <x v="47"/>
    </i>
    <i>
      <x v="8"/>
    </i>
    <i>
      <x v="42"/>
    </i>
    <i>
      <x v="23"/>
    </i>
    <i>
      <x v="36"/>
    </i>
    <i>
      <x v="12"/>
    </i>
    <i>
      <x v="37"/>
    </i>
    <i>
      <x v="57"/>
    </i>
    <i>
      <x v="39"/>
    </i>
    <i>
      <x v="15"/>
    </i>
    <i>
      <x v="24"/>
    </i>
    <i>
      <x v="5"/>
    </i>
    <i>
      <x v="11"/>
    </i>
    <i>
      <x v="44"/>
    </i>
    <i>
      <x v="16"/>
    </i>
    <i>
      <x v="9"/>
    </i>
    <i>
      <x v="59"/>
    </i>
    <i>
      <x v="54"/>
    </i>
    <i>
      <x v="38"/>
    </i>
    <i>
      <x v="55"/>
    </i>
    <i>
      <x v="13"/>
    </i>
    <i>
      <x v="17"/>
    </i>
    <i>
      <x v="41"/>
    </i>
    <i>
      <x v="53"/>
    </i>
    <i>
      <x v="34"/>
    </i>
    <i>
      <x v="28"/>
    </i>
    <i>
      <x v="35"/>
    </i>
    <i>
      <x v="56"/>
    </i>
    <i>
      <x v="18"/>
    </i>
    <i>
      <x v="60"/>
    </i>
    <i>
      <x v="30"/>
    </i>
    <i>
      <x v="46"/>
    </i>
    <i>
      <x v="3"/>
    </i>
    <i>
      <x v="32"/>
    </i>
    <i>
      <x v="4"/>
    </i>
    <i>
      <x/>
    </i>
    <i>
      <x v="10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11DB7-95CA-42A6-83D5-045F0020AFB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J9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numFmtId="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05B2C-2BB5-4779-BDF3-0A2CE34C64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0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7">
        <item x="3"/>
        <item x="0"/>
        <item x="1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</pivotFields>
  <rowFields count="1">
    <field x="9"/>
  </rowFields>
  <rowItems count="7">
    <i>
      <x v="3"/>
    </i>
    <i>
      <x v="1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4FAFE-AB06-4719-9677-09485BCBDA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dataField="1"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numFmtId="2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D613-42AE-4F1F-A020-42F91DA65D9A}">
  <dimension ref="A3:O65"/>
  <sheetViews>
    <sheetView tabSelected="1" workbookViewId="0">
      <selection activeCell="O7" sqref="O7"/>
    </sheetView>
  </sheetViews>
  <sheetFormatPr defaultRowHeight="14.4" x14ac:dyDescent="0.3"/>
  <cols>
    <col min="1" max="1" width="13.109375" bestFit="1" customWidth="1"/>
    <col min="2" max="2" width="14.44140625" bestFit="1" customWidth="1"/>
    <col min="5" max="5" width="12.5546875" bestFit="1" customWidth="1"/>
    <col min="6" max="6" width="14.44140625" bestFit="1" customWidth="1"/>
    <col min="9" max="9" width="12.5546875" bestFit="1" customWidth="1"/>
    <col min="10" max="10" width="15.88671875" bestFit="1" customWidth="1"/>
    <col min="11" max="11" width="14.44140625" bestFit="1" customWidth="1"/>
    <col min="14" max="14" width="12.5546875" bestFit="1" customWidth="1"/>
    <col min="15" max="15" width="14.44140625" bestFit="1" customWidth="1"/>
  </cols>
  <sheetData>
    <row r="3" spans="1:15" x14ac:dyDescent="0.3">
      <c r="A3" s="3" t="s">
        <v>1467</v>
      </c>
      <c r="B3" t="s">
        <v>1469</v>
      </c>
      <c r="E3" s="3" t="s">
        <v>1467</v>
      </c>
      <c r="F3" t="s">
        <v>1469</v>
      </c>
      <c r="I3" s="3" t="s">
        <v>1467</v>
      </c>
      <c r="J3" t="s">
        <v>1470</v>
      </c>
      <c r="N3" s="3" t="s">
        <v>1467</v>
      </c>
      <c r="O3" t="s">
        <v>1469</v>
      </c>
    </row>
    <row r="4" spans="1:15" x14ac:dyDescent="0.3">
      <c r="A4" s="4" t="s">
        <v>30</v>
      </c>
      <c r="B4">
        <v>2089510</v>
      </c>
      <c r="E4" s="4" t="s">
        <v>25</v>
      </c>
      <c r="F4">
        <v>1130048</v>
      </c>
      <c r="I4" s="4" t="s">
        <v>65</v>
      </c>
      <c r="J4">
        <v>206</v>
      </c>
      <c r="N4" s="4" t="s">
        <v>152</v>
      </c>
      <c r="O4">
        <v>204413</v>
      </c>
    </row>
    <row r="5" spans="1:15" x14ac:dyDescent="0.3">
      <c r="A5" s="4" t="s">
        <v>13</v>
      </c>
      <c r="B5">
        <v>2054456</v>
      </c>
      <c r="E5" s="4" t="s">
        <v>17</v>
      </c>
      <c r="F5">
        <v>1091174</v>
      </c>
      <c r="I5" s="4" t="s">
        <v>47</v>
      </c>
      <c r="J5">
        <v>258</v>
      </c>
      <c r="N5" s="4" t="s">
        <v>209</v>
      </c>
      <c r="O5">
        <v>198965</v>
      </c>
    </row>
    <row r="6" spans="1:15" x14ac:dyDescent="0.3">
      <c r="A6" s="4" t="s">
        <v>45</v>
      </c>
      <c r="B6">
        <v>2038673</v>
      </c>
      <c r="E6" s="4" t="s">
        <v>42</v>
      </c>
      <c r="F6">
        <v>1086436</v>
      </c>
      <c r="I6" s="4" t="s">
        <v>32</v>
      </c>
      <c r="J6">
        <v>260</v>
      </c>
      <c r="N6" s="4" t="s">
        <v>105</v>
      </c>
      <c r="O6">
        <v>181554</v>
      </c>
    </row>
    <row r="7" spans="1:15" x14ac:dyDescent="0.3">
      <c r="A7" s="4" t="s">
        <v>1468</v>
      </c>
      <c r="B7">
        <v>6182639</v>
      </c>
      <c r="E7" s="4" t="s">
        <v>71</v>
      </c>
      <c r="F7">
        <v>1011475</v>
      </c>
      <c r="I7" s="4" t="s">
        <v>40</v>
      </c>
      <c r="J7">
        <v>218</v>
      </c>
      <c r="N7" s="4" t="s">
        <v>37</v>
      </c>
      <c r="O7">
        <v>156211</v>
      </c>
    </row>
    <row r="8" spans="1:15" x14ac:dyDescent="0.3">
      <c r="E8" s="4" t="s">
        <v>21</v>
      </c>
      <c r="F8">
        <v>978738</v>
      </c>
      <c r="I8" s="4" t="s">
        <v>15</v>
      </c>
      <c r="J8">
        <v>252</v>
      </c>
      <c r="N8" s="4" t="s">
        <v>96</v>
      </c>
      <c r="O8">
        <v>155508</v>
      </c>
    </row>
    <row r="9" spans="1:15" x14ac:dyDescent="0.3">
      <c r="E9" s="4" t="s">
        <v>98</v>
      </c>
      <c r="F9">
        <v>884768</v>
      </c>
      <c r="I9" s="4" t="s">
        <v>1468</v>
      </c>
      <c r="J9">
        <v>1194</v>
      </c>
      <c r="N9" s="4" t="s">
        <v>175</v>
      </c>
      <c r="O9">
        <v>150979</v>
      </c>
    </row>
    <row r="10" spans="1:15" x14ac:dyDescent="0.3">
      <c r="E10" s="4" t="s">
        <v>1468</v>
      </c>
      <c r="F10">
        <v>6182639</v>
      </c>
      <c r="N10" s="4" t="s">
        <v>165</v>
      </c>
      <c r="O10">
        <v>146997</v>
      </c>
    </row>
    <row r="11" spans="1:15" x14ac:dyDescent="0.3">
      <c r="N11" s="4" t="s">
        <v>87</v>
      </c>
      <c r="O11">
        <v>145619</v>
      </c>
    </row>
    <row r="12" spans="1:15" x14ac:dyDescent="0.3">
      <c r="N12" s="4" t="s">
        <v>180</v>
      </c>
      <c r="O12">
        <v>143713</v>
      </c>
    </row>
    <row r="13" spans="1:15" x14ac:dyDescent="0.3">
      <c r="N13" s="4" t="s">
        <v>262</v>
      </c>
      <c r="O13">
        <v>140745</v>
      </c>
    </row>
    <row r="14" spans="1:15" x14ac:dyDescent="0.3">
      <c r="N14" s="4" t="s">
        <v>235</v>
      </c>
      <c r="O14">
        <v>138052</v>
      </c>
    </row>
    <row r="15" spans="1:15" x14ac:dyDescent="0.3">
      <c r="N15" s="4" t="s">
        <v>102</v>
      </c>
      <c r="O15">
        <v>134078</v>
      </c>
    </row>
    <row r="16" spans="1:15" x14ac:dyDescent="0.3">
      <c r="N16" s="4" t="s">
        <v>162</v>
      </c>
      <c r="O16">
        <v>133385</v>
      </c>
    </row>
    <row r="17" spans="14:15" x14ac:dyDescent="0.3">
      <c r="N17" s="4" t="s">
        <v>90</v>
      </c>
      <c r="O17">
        <v>133283</v>
      </c>
    </row>
    <row r="18" spans="14:15" x14ac:dyDescent="0.3">
      <c r="N18" s="4" t="s">
        <v>215</v>
      </c>
      <c r="O18">
        <v>129944</v>
      </c>
    </row>
    <row r="19" spans="14:15" x14ac:dyDescent="0.3">
      <c r="N19" s="4" t="s">
        <v>442</v>
      </c>
      <c r="O19">
        <v>126861</v>
      </c>
    </row>
    <row r="20" spans="14:15" x14ac:dyDescent="0.3">
      <c r="N20" s="4" t="s">
        <v>108</v>
      </c>
      <c r="O20">
        <v>124149</v>
      </c>
    </row>
    <row r="21" spans="14:15" x14ac:dyDescent="0.3">
      <c r="N21" s="4" t="s">
        <v>338</v>
      </c>
      <c r="O21">
        <v>119216</v>
      </c>
    </row>
    <row r="22" spans="14:15" x14ac:dyDescent="0.3">
      <c r="N22" s="4" t="s">
        <v>35</v>
      </c>
      <c r="O22">
        <v>117494</v>
      </c>
    </row>
    <row r="23" spans="14:15" x14ac:dyDescent="0.3">
      <c r="N23" s="4" t="s">
        <v>59</v>
      </c>
      <c r="O23">
        <v>113287</v>
      </c>
    </row>
    <row r="24" spans="14:15" x14ac:dyDescent="0.3">
      <c r="N24" s="4" t="s">
        <v>308</v>
      </c>
      <c r="O24">
        <v>112906</v>
      </c>
    </row>
    <row r="25" spans="14:15" x14ac:dyDescent="0.3">
      <c r="N25" s="4" t="s">
        <v>187</v>
      </c>
      <c r="O25">
        <v>110873</v>
      </c>
    </row>
    <row r="26" spans="14:15" x14ac:dyDescent="0.3">
      <c r="N26" s="4" t="s">
        <v>119</v>
      </c>
      <c r="O26">
        <v>110836</v>
      </c>
    </row>
    <row r="27" spans="14:15" x14ac:dyDescent="0.3">
      <c r="N27" s="4" t="s">
        <v>389</v>
      </c>
      <c r="O27">
        <v>109434</v>
      </c>
    </row>
    <row r="28" spans="14:15" x14ac:dyDescent="0.3">
      <c r="N28" s="4" t="s">
        <v>218</v>
      </c>
      <c r="O28">
        <v>108414</v>
      </c>
    </row>
    <row r="29" spans="14:15" x14ac:dyDescent="0.3">
      <c r="N29" s="4" t="s">
        <v>80</v>
      </c>
      <c r="O29">
        <v>108170</v>
      </c>
    </row>
    <row r="30" spans="14:15" x14ac:dyDescent="0.3">
      <c r="N30" s="4" t="s">
        <v>273</v>
      </c>
      <c r="O30">
        <v>108133</v>
      </c>
    </row>
    <row r="31" spans="14:15" x14ac:dyDescent="0.3">
      <c r="N31" s="4" t="s">
        <v>137</v>
      </c>
      <c r="O31">
        <v>106735</v>
      </c>
    </row>
    <row r="32" spans="14:15" x14ac:dyDescent="0.3">
      <c r="N32" s="4" t="s">
        <v>245</v>
      </c>
      <c r="O32">
        <v>105849</v>
      </c>
    </row>
    <row r="33" spans="14:15" x14ac:dyDescent="0.3">
      <c r="N33" s="4" t="s">
        <v>167</v>
      </c>
      <c r="O33">
        <v>103198</v>
      </c>
    </row>
    <row r="34" spans="14:15" x14ac:dyDescent="0.3">
      <c r="N34" s="4" t="s">
        <v>145</v>
      </c>
      <c r="O34">
        <v>103109</v>
      </c>
    </row>
    <row r="35" spans="14:15" x14ac:dyDescent="0.3">
      <c r="N35" s="4" t="s">
        <v>23</v>
      </c>
      <c r="O35">
        <v>98879</v>
      </c>
    </row>
    <row r="36" spans="14:15" x14ac:dyDescent="0.3">
      <c r="N36" s="4" t="s">
        <v>19</v>
      </c>
      <c r="O36">
        <v>97770</v>
      </c>
    </row>
    <row r="37" spans="14:15" x14ac:dyDescent="0.3">
      <c r="N37" s="4" t="s">
        <v>125</v>
      </c>
      <c r="O37">
        <v>96616</v>
      </c>
    </row>
    <row r="38" spans="14:15" x14ac:dyDescent="0.3">
      <c r="N38" s="4" t="s">
        <v>134</v>
      </c>
      <c r="O38">
        <v>93795</v>
      </c>
    </row>
    <row r="39" spans="14:15" x14ac:dyDescent="0.3">
      <c r="N39" s="4" t="s">
        <v>185</v>
      </c>
      <c r="O39">
        <v>91117</v>
      </c>
    </row>
    <row r="40" spans="14:15" x14ac:dyDescent="0.3">
      <c r="N40" s="4" t="s">
        <v>292</v>
      </c>
      <c r="O40">
        <v>89829</v>
      </c>
    </row>
    <row r="41" spans="14:15" x14ac:dyDescent="0.3">
      <c r="N41" s="4" t="s">
        <v>52</v>
      </c>
      <c r="O41">
        <v>88896</v>
      </c>
    </row>
    <row r="42" spans="14:15" x14ac:dyDescent="0.3">
      <c r="N42" s="4" t="s">
        <v>27</v>
      </c>
      <c r="O42">
        <v>85611</v>
      </c>
    </row>
    <row r="43" spans="14:15" x14ac:dyDescent="0.3">
      <c r="N43" s="4" t="s">
        <v>287</v>
      </c>
      <c r="O43">
        <v>84725</v>
      </c>
    </row>
    <row r="44" spans="14:15" x14ac:dyDescent="0.3">
      <c r="N44" s="4" t="s">
        <v>73</v>
      </c>
      <c r="O44">
        <v>84712</v>
      </c>
    </row>
    <row r="45" spans="14:15" x14ac:dyDescent="0.3">
      <c r="N45" s="4" t="s">
        <v>159</v>
      </c>
      <c r="O45">
        <v>84624</v>
      </c>
    </row>
    <row r="46" spans="14:15" x14ac:dyDescent="0.3">
      <c r="N46" s="4" t="s">
        <v>127</v>
      </c>
      <c r="O46">
        <v>83300</v>
      </c>
    </row>
    <row r="47" spans="14:15" x14ac:dyDescent="0.3">
      <c r="N47" s="4" t="s">
        <v>360</v>
      </c>
      <c r="O47">
        <v>83105</v>
      </c>
    </row>
    <row r="48" spans="14:15" x14ac:dyDescent="0.3">
      <c r="N48" s="4" t="s">
        <v>139</v>
      </c>
      <c r="O48">
        <v>82463</v>
      </c>
    </row>
    <row r="49" spans="14:15" x14ac:dyDescent="0.3">
      <c r="N49" s="4" t="s">
        <v>178</v>
      </c>
      <c r="O49">
        <v>79494</v>
      </c>
    </row>
    <row r="50" spans="14:15" x14ac:dyDescent="0.3">
      <c r="N50" s="4" t="s">
        <v>121</v>
      </c>
      <c r="O50">
        <v>74870</v>
      </c>
    </row>
    <row r="51" spans="14:15" x14ac:dyDescent="0.3">
      <c r="N51" s="4" t="s">
        <v>114</v>
      </c>
      <c r="O51">
        <v>73384</v>
      </c>
    </row>
    <row r="52" spans="14:15" x14ac:dyDescent="0.3">
      <c r="N52" s="4" t="s">
        <v>333</v>
      </c>
      <c r="O52">
        <v>64321</v>
      </c>
    </row>
    <row r="53" spans="14:15" x14ac:dyDescent="0.3">
      <c r="N53" s="4" t="s">
        <v>418</v>
      </c>
      <c r="O53">
        <v>61745</v>
      </c>
    </row>
    <row r="54" spans="14:15" x14ac:dyDescent="0.3">
      <c r="N54" s="4" t="s">
        <v>93</v>
      </c>
      <c r="O54">
        <v>60982</v>
      </c>
    </row>
    <row r="55" spans="14:15" x14ac:dyDescent="0.3">
      <c r="N55" s="4" t="s">
        <v>255</v>
      </c>
      <c r="O55">
        <v>60976</v>
      </c>
    </row>
    <row r="56" spans="14:15" x14ac:dyDescent="0.3">
      <c r="N56" s="4" t="s">
        <v>224</v>
      </c>
      <c r="O56">
        <v>57426</v>
      </c>
    </row>
    <row r="57" spans="14:15" x14ac:dyDescent="0.3">
      <c r="N57" s="4" t="s">
        <v>157</v>
      </c>
      <c r="O57">
        <v>52198</v>
      </c>
    </row>
    <row r="58" spans="14:15" x14ac:dyDescent="0.3">
      <c r="N58" s="4" t="s">
        <v>131</v>
      </c>
      <c r="O58">
        <v>48619</v>
      </c>
    </row>
    <row r="59" spans="14:15" x14ac:dyDescent="0.3">
      <c r="N59" s="4" t="s">
        <v>76</v>
      </c>
      <c r="O59">
        <v>47645</v>
      </c>
    </row>
    <row r="60" spans="14:15" x14ac:dyDescent="0.3">
      <c r="N60" s="4" t="s">
        <v>313</v>
      </c>
      <c r="O60">
        <v>46900</v>
      </c>
    </row>
    <row r="61" spans="14:15" x14ac:dyDescent="0.3">
      <c r="N61" s="4" t="s">
        <v>44</v>
      </c>
      <c r="O61">
        <v>42793</v>
      </c>
    </row>
    <row r="62" spans="14:15" x14ac:dyDescent="0.3">
      <c r="N62" s="4" t="s">
        <v>462</v>
      </c>
      <c r="O62">
        <v>38556</v>
      </c>
    </row>
    <row r="63" spans="14:15" x14ac:dyDescent="0.3">
      <c r="N63" s="4" t="s">
        <v>55</v>
      </c>
      <c r="O63">
        <v>22991</v>
      </c>
    </row>
    <row r="64" spans="14:15" x14ac:dyDescent="0.3">
      <c r="N64" s="4" t="s">
        <v>276</v>
      </c>
      <c r="O64">
        <v>22187</v>
      </c>
    </row>
    <row r="65" spans="14:15" x14ac:dyDescent="0.3">
      <c r="N65" s="4" t="s">
        <v>1468</v>
      </c>
      <c r="O65">
        <v>6182639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3FA5-6434-459D-9590-BE1620730D49}">
  <dimension ref="A1:M1195"/>
  <sheetViews>
    <sheetView workbookViewId="0">
      <pane ySplit="1" topLeftCell="A2" activePane="bottomLeft" state="frozen"/>
      <selection pane="bottomLeft" activeCell="G1181" sqref="G1181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5546875" bestFit="1" customWidth="1"/>
    <col min="4" max="4" width="8" bestFit="1" customWidth="1"/>
    <col min="5" max="5" width="13.109375" bestFit="1" customWidth="1"/>
    <col min="6" max="6" width="15.21875" bestFit="1" customWidth="1"/>
    <col min="7" max="7" width="12.88671875" bestFit="1" customWidth="1"/>
    <col min="8" max="8" width="10.33203125" bestFit="1" customWidth="1"/>
    <col min="9" max="9" width="21.44140625" bestFit="1" customWidth="1"/>
    <col min="11" max="11" width="12.44140625" bestFit="1" customWidth="1"/>
    <col min="12" max="12" width="10.77734375" bestFit="1" customWidth="1"/>
    <col min="13" max="13" width="13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1466</v>
      </c>
    </row>
    <row r="2" spans="1:13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  <c r="M2" s="2">
        <f>(C2/B2 )*100</f>
        <v>13.10919185687847</v>
      </c>
    </row>
    <row r="3" spans="1:13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  <c r="M3" s="2">
        <f t="shared" ref="M3:M66" si="0">(C3/B3 )*100</f>
        <v>13.10919185687847</v>
      </c>
    </row>
    <row r="4" spans="1:13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  <c r="M4" s="2">
        <f t="shared" si="0"/>
        <v>13.10919185687847</v>
      </c>
    </row>
    <row r="5" spans="1:13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  <c r="M5" s="2">
        <f t="shared" si="0"/>
        <v>26.733668341708544</v>
      </c>
    </row>
    <row r="6" spans="1:13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  <c r="M6" s="2">
        <f t="shared" si="0"/>
        <v>26.733668341708544</v>
      </c>
    </row>
    <row r="7" spans="1:13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  <c r="M7" s="2">
        <f t="shared" si="0"/>
        <v>26.733668341708544</v>
      </c>
    </row>
    <row r="8" spans="1:13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  <c r="M8" s="2">
        <f t="shared" si="0"/>
        <v>12.131147540983607</v>
      </c>
    </row>
    <row r="9" spans="1:13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  <c r="M9" s="2">
        <f t="shared" si="0"/>
        <v>12.131147540983607</v>
      </c>
    </row>
    <row r="10" spans="1:13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  <c r="M10" s="2">
        <f t="shared" si="0"/>
        <v>13.250283125707815</v>
      </c>
    </row>
    <row r="11" spans="1:13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  <c r="M11" s="2">
        <f t="shared" si="0"/>
        <v>43.693859972929737</v>
      </c>
    </row>
    <row r="12" spans="1:13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  <c r="M12" s="2">
        <f t="shared" si="0"/>
        <v>29.173290937996821</v>
      </c>
    </row>
    <row r="13" spans="1:13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  <c r="M13" s="2">
        <f t="shared" si="0"/>
        <v>15.529411764705884</v>
      </c>
    </row>
    <row r="14" spans="1:13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  <c r="M14" s="2">
        <f t="shared" si="0"/>
        <v>41.04510290468545</v>
      </c>
    </row>
    <row r="15" spans="1:13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  <c r="M15" s="2">
        <f t="shared" si="0"/>
        <v>13.716233936532914</v>
      </c>
    </row>
    <row r="16" spans="1:13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  <c r="M16" s="2">
        <f t="shared" si="0"/>
        <v>7.6246334310850443</v>
      </c>
    </row>
    <row r="17" spans="1:13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  <c r="M17" s="2">
        <f t="shared" si="0"/>
        <v>14.44736842105263</v>
      </c>
    </row>
    <row r="18" spans="1:13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  <c r="M18" s="2">
        <f t="shared" si="0"/>
        <v>3.4928676176509796</v>
      </c>
    </row>
    <row r="19" spans="1:13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  <c r="M19" s="2">
        <f t="shared" si="0"/>
        <v>18.344827586206897</v>
      </c>
    </row>
    <row r="20" spans="1:13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  <c r="M20" s="2">
        <f t="shared" si="0"/>
        <v>37.286487987779473</v>
      </c>
    </row>
    <row r="21" spans="1:13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  <c r="M21" s="2">
        <f t="shared" si="0"/>
        <v>16.267648864333946</v>
      </c>
    </row>
    <row r="22" spans="1:13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  <c r="M22" s="2">
        <f t="shared" si="0"/>
        <v>16.267648864333946</v>
      </c>
    </row>
    <row r="23" spans="1:13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  <c r="M23" s="2">
        <f t="shared" si="0"/>
        <v>33.117824099877389</v>
      </c>
    </row>
    <row r="24" spans="1:13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  <c r="M24" s="2">
        <f t="shared" si="0"/>
        <v>30.41850969717591</v>
      </c>
    </row>
    <row r="25" spans="1:13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  <c r="M25" s="2">
        <f t="shared" si="0"/>
        <v>4.4136460554371002</v>
      </c>
    </row>
    <row r="26" spans="1:13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  <c r="M26" s="2">
        <f t="shared" si="0"/>
        <v>19.210095816779621</v>
      </c>
    </row>
    <row r="27" spans="1:13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  <c r="M27" s="2">
        <f t="shared" si="0"/>
        <v>1.7647058823529411</v>
      </c>
    </row>
    <row r="28" spans="1:13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  <c r="M28" s="2">
        <f t="shared" si="0"/>
        <v>43.295292439372325</v>
      </c>
    </row>
    <row r="29" spans="1:13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  <c r="M29" s="2">
        <f t="shared" si="0"/>
        <v>22.60969534393562</v>
      </c>
    </row>
    <row r="30" spans="1:13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  <c r="M30" s="2">
        <f t="shared" si="0"/>
        <v>22.60969534393562</v>
      </c>
    </row>
    <row r="31" spans="1:13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  <c r="M31" s="2">
        <f t="shared" si="0"/>
        <v>20.618556701030926</v>
      </c>
    </row>
    <row r="32" spans="1:13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  <c r="M32" s="2">
        <f t="shared" si="0"/>
        <v>20.618556701030926</v>
      </c>
    </row>
    <row r="33" spans="1:13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  <c r="M33" s="2">
        <f t="shared" si="0"/>
        <v>26.567411083540115</v>
      </c>
    </row>
    <row r="34" spans="1:13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  <c r="M34" s="2">
        <f t="shared" si="0"/>
        <v>5.9333833136981902</v>
      </c>
    </row>
    <row r="35" spans="1:13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  <c r="M35" s="2">
        <f t="shared" si="0"/>
        <v>45.618365835596144</v>
      </c>
    </row>
    <row r="36" spans="1:13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  <c r="M36" s="2">
        <f t="shared" si="0"/>
        <v>45.618365835596144</v>
      </c>
    </row>
    <row r="37" spans="1:13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  <c r="M37" s="2">
        <f t="shared" si="0"/>
        <v>17.28197964478148</v>
      </c>
    </row>
    <row r="38" spans="1:13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  <c r="M38" s="2">
        <f t="shared" si="0"/>
        <v>17.28197964478148</v>
      </c>
    </row>
    <row r="39" spans="1:13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  <c r="M39" s="2">
        <f t="shared" si="0"/>
        <v>15.917129863567459</v>
      </c>
    </row>
    <row r="40" spans="1:13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  <c r="M40" s="2">
        <f t="shared" si="0"/>
        <v>30.747126436781606</v>
      </c>
    </row>
    <row r="41" spans="1:13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  <c r="M41" s="2">
        <f t="shared" si="0"/>
        <v>37.731243576567323</v>
      </c>
    </row>
    <row r="42" spans="1:13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  <c r="M42" s="2">
        <f t="shared" si="0"/>
        <v>30.334466106242175</v>
      </c>
    </row>
    <row r="43" spans="1:13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  <c r="M43" s="2">
        <f t="shared" si="0"/>
        <v>47.110503709488484</v>
      </c>
    </row>
    <row r="44" spans="1:13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  <c r="M44" s="2">
        <f t="shared" si="0"/>
        <v>31.73761003255758</v>
      </c>
    </row>
    <row r="45" spans="1:13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  <c r="M45" s="2">
        <f t="shared" si="0"/>
        <v>31.73761003255758</v>
      </c>
    </row>
    <row r="46" spans="1:13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  <c r="M46" s="2">
        <f t="shared" si="0"/>
        <v>31.73761003255758</v>
      </c>
    </row>
    <row r="47" spans="1:13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  <c r="M47" s="2">
        <f t="shared" si="0"/>
        <v>7.1603213412504365</v>
      </c>
    </row>
    <row r="48" spans="1:13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  <c r="M48" s="2">
        <f t="shared" si="0"/>
        <v>7.1603213412504365</v>
      </c>
    </row>
    <row r="49" spans="1:13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  <c r="M49" s="2">
        <f t="shared" si="0"/>
        <v>7.1603213412504365</v>
      </c>
    </row>
    <row r="50" spans="1:13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  <c r="M50" s="2">
        <f t="shared" si="0"/>
        <v>18.543689320388349</v>
      </c>
    </row>
    <row r="51" spans="1:13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  <c r="M51" s="2">
        <f t="shared" si="0"/>
        <v>18.543689320388349</v>
      </c>
    </row>
    <row r="52" spans="1:13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  <c r="M52" s="2">
        <f t="shared" si="0"/>
        <v>18.543689320388349</v>
      </c>
    </row>
    <row r="53" spans="1:13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  <c r="M53" s="2">
        <f t="shared" si="0"/>
        <v>18.543689320388349</v>
      </c>
    </row>
    <row r="54" spans="1:13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  <c r="M54" s="2">
        <f t="shared" si="0"/>
        <v>10.471961169059176</v>
      </c>
    </row>
    <row r="55" spans="1:13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  <c r="M55" s="2">
        <f t="shared" si="0"/>
        <v>10.471961169059176</v>
      </c>
    </row>
    <row r="56" spans="1:13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  <c r="M56" s="2">
        <f t="shared" si="0"/>
        <v>10.471961169059176</v>
      </c>
    </row>
    <row r="57" spans="1:13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  <c r="M57" s="2">
        <f t="shared" si="0"/>
        <v>10.471961169059176</v>
      </c>
    </row>
    <row r="58" spans="1:13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  <c r="M58" s="2">
        <f t="shared" si="0"/>
        <v>26.30937880633374</v>
      </c>
    </row>
    <row r="59" spans="1:13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  <c r="M59" s="2">
        <f t="shared" si="0"/>
        <v>19.690180514658813</v>
      </c>
    </row>
    <row r="60" spans="1:13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  <c r="M60" s="2">
        <f t="shared" si="0"/>
        <v>7.3464733669978823</v>
      </c>
    </row>
    <row r="61" spans="1:13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  <c r="M61" s="2">
        <f t="shared" si="0"/>
        <v>7.3464733669978823</v>
      </c>
    </row>
    <row r="62" spans="1:13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  <c r="M62" s="2">
        <f t="shared" si="0"/>
        <v>36.961556276053727</v>
      </c>
    </row>
    <row r="63" spans="1:13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  <c r="M63" s="2">
        <f t="shared" si="0"/>
        <v>36.961556276053727</v>
      </c>
    </row>
    <row r="64" spans="1:13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  <c r="M64" s="2">
        <f t="shared" si="0"/>
        <v>38.567244874971841</v>
      </c>
    </row>
    <row r="65" spans="1:13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  <c r="M65" s="2">
        <f t="shared" si="0"/>
        <v>38.567244874971841</v>
      </c>
    </row>
    <row r="66" spans="1:13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  <c r="M66" s="2">
        <f t="shared" si="0"/>
        <v>16.929133858267718</v>
      </c>
    </row>
    <row r="67" spans="1:13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  <c r="M67" s="2">
        <f t="shared" ref="M67:M130" si="1">(C67/B67 )*100</f>
        <v>35.696948682385575</v>
      </c>
    </row>
    <row r="68" spans="1:13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  <c r="M68" s="2">
        <f t="shared" si="1"/>
        <v>12.407559572719803</v>
      </c>
    </row>
    <row r="69" spans="1:13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  <c r="M69" s="2">
        <f t="shared" si="1"/>
        <v>9.7586568730325283</v>
      </c>
    </row>
    <row r="70" spans="1:13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  <c r="M70" s="2">
        <f t="shared" si="1"/>
        <v>9.7586568730325283</v>
      </c>
    </row>
    <row r="71" spans="1:13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  <c r="M71" s="2">
        <f t="shared" si="1"/>
        <v>14.058463630183549</v>
      </c>
    </row>
    <row r="72" spans="1:13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  <c r="M72" s="2">
        <f t="shared" si="1"/>
        <v>14.058463630183549</v>
      </c>
    </row>
    <row r="73" spans="1:13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  <c r="M73" s="2">
        <f t="shared" si="1"/>
        <v>13.456321215409659</v>
      </c>
    </row>
    <row r="74" spans="1:13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  <c r="M74" s="2">
        <f t="shared" si="1"/>
        <v>13.456321215409659</v>
      </c>
    </row>
    <row r="75" spans="1:13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  <c r="M75" s="2">
        <f t="shared" si="1"/>
        <v>22.520274485339989</v>
      </c>
    </row>
    <row r="76" spans="1:13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  <c r="M76" s="2">
        <f t="shared" si="1"/>
        <v>22.520274485339989</v>
      </c>
    </row>
    <row r="77" spans="1:13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  <c r="M77" s="2">
        <f t="shared" si="1"/>
        <v>26.074074074074073</v>
      </c>
    </row>
    <row r="78" spans="1:13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  <c r="M78" s="2">
        <f t="shared" si="1"/>
        <v>2.4558823529411766</v>
      </c>
    </row>
    <row r="79" spans="1:13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  <c r="M79" s="2">
        <f t="shared" si="1"/>
        <v>4.8845470692717585</v>
      </c>
    </row>
    <row r="80" spans="1:13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  <c r="M80" s="2">
        <f t="shared" si="1"/>
        <v>4.8845470692717585</v>
      </c>
    </row>
    <row r="81" spans="1:13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  <c r="M81" s="2">
        <f t="shared" si="1"/>
        <v>46.56843223151467</v>
      </c>
    </row>
    <row r="82" spans="1:13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  <c r="M82" s="2">
        <f t="shared" si="1"/>
        <v>24.883819180397126</v>
      </c>
    </row>
    <row r="83" spans="1:13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  <c r="M83" s="2">
        <f t="shared" si="1"/>
        <v>28.841433480608735</v>
      </c>
    </row>
    <row r="84" spans="1:13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  <c r="M84" s="2">
        <f t="shared" si="1"/>
        <v>20.736932305055699</v>
      </c>
    </row>
    <row r="85" spans="1:13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  <c r="M85" s="2">
        <f t="shared" si="1"/>
        <v>45.054545454545455</v>
      </c>
    </row>
    <row r="86" spans="1:13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  <c r="M86" s="2">
        <f t="shared" si="1"/>
        <v>45.054545454545455</v>
      </c>
    </row>
    <row r="87" spans="1:13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  <c r="M87" s="2">
        <f t="shared" si="1"/>
        <v>35.930084500520891</v>
      </c>
    </row>
    <row r="88" spans="1:13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  <c r="M88" s="2">
        <f t="shared" si="1"/>
        <v>35.930084500520891</v>
      </c>
    </row>
    <row r="89" spans="1:13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  <c r="M89" s="2">
        <f t="shared" si="1"/>
        <v>31.30252100840336</v>
      </c>
    </row>
    <row r="90" spans="1:13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  <c r="M90" s="2">
        <f t="shared" si="1"/>
        <v>27.241112828438951</v>
      </c>
    </row>
    <row r="91" spans="1:13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  <c r="M91" s="2">
        <f t="shared" si="1"/>
        <v>45.69453174104337</v>
      </c>
    </row>
    <row r="92" spans="1:13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  <c r="M92" s="2">
        <f t="shared" si="1"/>
        <v>45.69453174104337</v>
      </c>
    </row>
    <row r="93" spans="1:13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  <c r="M93" s="2">
        <f t="shared" si="1"/>
        <v>45.69453174104337</v>
      </c>
    </row>
    <row r="94" spans="1:13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  <c r="M94" s="2">
        <f t="shared" si="1"/>
        <v>35.401252134319869</v>
      </c>
    </row>
    <row r="95" spans="1:13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  <c r="M95" s="2">
        <f t="shared" si="1"/>
        <v>35.401252134319869</v>
      </c>
    </row>
    <row r="96" spans="1:13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  <c r="M96" s="2">
        <f t="shared" si="1"/>
        <v>3.6455331412103749</v>
      </c>
    </row>
    <row r="97" spans="1:13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  <c r="M97" s="2">
        <f t="shared" si="1"/>
        <v>9.1087169441723805</v>
      </c>
    </row>
    <row r="98" spans="1:13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  <c r="M98" s="2">
        <f t="shared" si="1"/>
        <v>4.9659376120473286</v>
      </c>
    </row>
    <row r="99" spans="1:13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  <c r="M99" s="2">
        <f t="shared" si="1"/>
        <v>4.9659376120473286</v>
      </c>
    </row>
    <row r="100" spans="1:13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  <c r="M100" s="2">
        <f t="shared" si="1"/>
        <v>37.480857580398165</v>
      </c>
    </row>
    <row r="101" spans="1:13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  <c r="M101" s="2">
        <f t="shared" si="1"/>
        <v>36.00559776089564</v>
      </c>
    </row>
    <row r="102" spans="1:13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  <c r="M102" s="2">
        <f t="shared" si="1"/>
        <v>22.669376693766939</v>
      </c>
    </row>
    <row r="103" spans="1:13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  <c r="M103" s="2">
        <f t="shared" si="1"/>
        <v>37.827518104015802</v>
      </c>
    </row>
    <row r="104" spans="1:13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  <c r="M104" s="2">
        <f t="shared" si="1"/>
        <v>37.827518104015802</v>
      </c>
    </row>
    <row r="105" spans="1:13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  <c r="M105" s="2">
        <f t="shared" si="1"/>
        <v>15.046059365404298</v>
      </c>
    </row>
    <row r="106" spans="1:13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  <c r="M106" s="2">
        <f t="shared" si="1"/>
        <v>18.164435946462714</v>
      </c>
    </row>
    <row r="107" spans="1:13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  <c r="M107" s="2">
        <f t="shared" si="1"/>
        <v>12.517531556802245</v>
      </c>
    </row>
    <row r="108" spans="1:13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  <c r="M108" s="2">
        <f t="shared" si="1"/>
        <v>12.517531556802245</v>
      </c>
    </row>
    <row r="109" spans="1:13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  <c r="M109" s="2">
        <f t="shared" si="1"/>
        <v>11.481186768216437</v>
      </c>
    </row>
    <row r="110" spans="1:13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  <c r="M110" s="2">
        <f t="shared" si="1"/>
        <v>11.481186768216437</v>
      </c>
    </row>
    <row r="111" spans="1:13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  <c r="M111" s="2">
        <f t="shared" si="1"/>
        <v>31.38804677349502</v>
      </c>
    </row>
    <row r="112" spans="1:13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  <c r="M112" s="2">
        <f t="shared" si="1"/>
        <v>31.38804677349502</v>
      </c>
    </row>
    <row r="113" spans="1:13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  <c r="M113" s="2">
        <f t="shared" si="1"/>
        <v>6.4331979361071463</v>
      </c>
    </row>
    <row r="114" spans="1:13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  <c r="M114" s="2">
        <f t="shared" si="1"/>
        <v>12.069756769160165</v>
      </c>
    </row>
    <row r="115" spans="1:13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  <c r="M115" s="2">
        <f t="shared" si="1"/>
        <v>12.069756769160165</v>
      </c>
    </row>
    <row r="116" spans="1:13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  <c r="M116" s="2">
        <f t="shared" si="1"/>
        <v>12.772875058058522</v>
      </c>
    </row>
    <row r="117" spans="1:13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  <c r="M117" s="2">
        <f t="shared" si="1"/>
        <v>12.772875058058522</v>
      </c>
    </row>
    <row r="118" spans="1:13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  <c r="M118" s="2">
        <f t="shared" si="1"/>
        <v>3.7126715092816784</v>
      </c>
    </row>
    <row r="119" spans="1:13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  <c r="M119" s="2">
        <f t="shared" si="1"/>
        <v>3.7126715092816784</v>
      </c>
    </row>
    <row r="120" spans="1:13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  <c r="M120" s="2">
        <f t="shared" si="1"/>
        <v>3.7126715092816784</v>
      </c>
    </row>
    <row r="121" spans="1:13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  <c r="M121" s="2">
        <f t="shared" si="1"/>
        <v>3.7126715092816784</v>
      </c>
    </row>
    <row r="122" spans="1:13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  <c r="M122" s="2">
        <f t="shared" si="1"/>
        <v>36.989591673338673</v>
      </c>
    </row>
    <row r="123" spans="1:13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  <c r="M123" s="2">
        <f t="shared" si="1"/>
        <v>36.989591673338673</v>
      </c>
    </row>
    <row r="124" spans="1:13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  <c r="M124" s="2">
        <f t="shared" si="1"/>
        <v>36.989591673338673</v>
      </c>
    </row>
    <row r="125" spans="1:13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  <c r="M125" s="2">
        <f t="shared" si="1"/>
        <v>35.554631458571578</v>
      </c>
    </row>
    <row r="126" spans="1:13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  <c r="M126" s="2">
        <f t="shared" si="1"/>
        <v>35.554631458571578</v>
      </c>
    </row>
    <row r="127" spans="1:13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  <c r="M127" s="2">
        <f t="shared" si="1"/>
        <v>35.554631458571578</v>
      </c>
    </row>
    <row r="128" spans="1:13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  <c r="M128" s="2">
        <f t="shared" si="1"/>
        <v>33.109666596770808</v>
      </c>
    </row>
    <row r="129" spans="1:13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  <c r="M129" s="2">
        <f t="shared" si="1"/>
        <v>33.109666596770808</v>
      </c>
    </row>
    <row r="130" spans="1:13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  <c r="M130" s="2">
        <f t="shared" si="1"/>
        <v>13.580520199225235</v>
      </c>
    </row>
    <row r="131" spans="1:13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  <c r="M131" s="2">
        <f t="shared" ref="M131:M194" si="2">(C131/B131 )*100</f>
        <v>13.580520199225235</v>
      </c>
    </row>
    <row r="132" spans="1:13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  <c r="M132" s="2">
        <f t="shared" si="2"/>
        <v>24.962742175856931</v>
      </c>
    </row>
    <row r="133" spans="1:13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  <c r="M133" s="2">
        <f t="shared" si="2"/>
        <v>17.883211678832119</v>
      </c>
    </row>
    <row r="134" spans="1:13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  <c r="M134" s="2">
        <f t="shared" si="2"/>
        <v>24.059609455292907</v>
      </c>
    </row>
    <row r="135" spans="1:13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  <c r="M135" s="2">
        <f t="shared" si="2"/>
        <v>9.5046314941602894</v>
      </c>
    </row>
    <row r="136" spans="1:13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  <c r="M136" s="2">
        <f t="shared" si="2"/>
        <v>46.260601387818042</v>
      </c>
    </row>
    <row r="137" spans="1:13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  <c r="M137" s="2">
        <f t="shared" si="2"/>
        <v>24.554305221899103</v>
      </c>
    </row>
    <row r="138" spans="1:13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  <c r="M138" s="2">
        <f t="shared" si="2"/>
        <v>46.253071253071255</v>
      </c>
    </row>
    <row r="139" spans="1:13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  <c r="M139" s="2">
        <f t="shared" si="2"/>
        <v>18.800322061191626</v>
      </c>
    </row>
    <row r="140" spans="1:13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  <c r="M140" s="2">
        <f t="shared" si="2"/>
        <v>8.6077411900635479</v>
      </c>
    </row>
    <row r="141" spans="1:13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  <c r="M141" s="2">
        <f t="shared" si="2"/>
        <v>34.051849694145062</v>
      </c>
    </row>
    <row r="142" spans="1:13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  <c r="M142" s="2">
        <f t="shared" si="2"/>
        <v>34.051849694145062</v>
      </c>
    </row>
    <row r="143" spans="1:13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  <c r="M143" s="2">
        <f t="shared" si="2"/>
        <v>34.051849694145062</v>
      </c>
    </row>
    <row r="144" spans="1:13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  <c r="M144" s="2">
        <f t="shared" si="2"/>
        <v>38.33290455364034</v>
      </c>
    </row>
    <row r="145" spans="1:13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  <c r="M145" s="2">
        <f t="shared" si="2"/>
        <v>38.33290455364034</v>
      </c>
    </row>
    <row r="146" spans="1:13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  <c r="M146" s="2">
        <f t="shared" si="2"/>
        <v>38.33290455364034</v>
      </c>
    </row>
    <row r="147" spans="1:13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  <c r="M147" s="2">
        <f t="shared" si="2"/>
        <v>35.591338145474737</v>
      </c>
    </row>
    <row r="148" spans="1:13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  <c r="M148" s="2">
        <f t="shared" si="2"/>
        <v>15.412186379928317</v>
      </c>
    </row>
    <row r="149" spans="1:13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  <c r="M149" s="2">
        <f t="shared" si="2"/>
        <v>44.596912521440821</v>
      </c>
    </row>
    <row r="150" spans="1:13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  <c r="M150" s="2">
        <f t="shared" si="2"/>
        <v>44.148936170212764</v>
      </c>
    </row>
    <row r="151" spans="1:13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  <c r="M151" s="2">
        <f t="shared" si="2"/>
        <v>10.210035005834307</v>
      </c>
    </row>
    <row r="152" spans="1:13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  <c r="M152" s="2">
        <f t="shared" si="2"/>
        <v>33.684064793022287</v>
      </c>
    </row>
    <row r="153" spans="1:13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  <c r="M153" s="2">
        <f t="shared" si="2"/>
        <v>17.341195389975876</v>
      </c>
    </row>
    <row r="154" spans="1:13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  <c r="M154" s="2">
        <f t="shared" si="2"/>
        <v>49.432775468943049</v>
      </c>
    </row>
    <row r="155" spans="1:13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  <c r="M155" s="2">
        <f t="shared" si="2"/>
        <v>35.064070560825428</v>
      </c>
    </row>
    <row r="156" spans="1:13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  <c r="M156" s="2">
        <f t="shared" si="2"/>
        <v>35.064070560825428</v>
      </c>
    </row>
    <row r="157" spans="1:13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  <c r="M157" s="2">
        <f t="shared" si="2"/>
        <v>8.0475857242827153</v>
      </c>
    </row>
    <row r="158" spans="1:13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  <c r="M158" s="2">
        <f t="shared" si="2"/>
        <v>8.0475857242827153</v>
      </c>
    </row>
    <row r="159" spans="1:13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  <c r="M159" s="2">
        <f t="shared" si="2"/>
        <v>6.4220183486238538</v>
      </c>
    </row>
    <row r="160" spans="1:13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  <c r="M160" s="2">
        <f t="shared" si="2"/>
        <v>6.4220183486238538</v>
      </c>
    </row>
    <row r="161" spans="1:13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  <c r="M161" s="2">
        <f t="shared" si="2"/>
        <v>10.023947998631542</v>
      </c>
    </row>
    <row r="162" spans="1:13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  <c r="M162" s="2">
        <f t="shared" si="2"/>
        <v>10.023947998631542</v>
      </c>
    </row>
    <row r="163" spans="1:13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  <c r="M163" s="2">
        <f t="shared" si="2"/>
        <v>27.90368271954674</v>
      </c>
    </row>
    <row r="164" spans="1:13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  <c r="M164" s="2">
        <f t="shared" si="2"/>
        <v>26.141331977630912</v>
      </c>
    </row>
    <row r="165" spans="1:13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  <c r="M165" s="2">
        <f t="shared" si="2"/>
        <v>26.141331977630912</v>
      </c>
    </row>
    <row r="166" spans="1:13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  <c r="M166" s="2">
        <f t="shared" si="2"/>
        <v>26.141331977630912</v>
      </c>
    </row>
    <row r="167" spans="1:13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  <c r="M167" s="2">
        <f t="shared" si="2"/>
        <v>31.534413373232894</v>
      </c>
    </row>
    <row r="168" spans="1:13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  <c r="M168" s="2">
        <f t="shared" si="2"/>
        <v>31.534413373232894</v>
      </c>
    </row>
    <row r="169" spans="1:13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  <c r="M169" s="2">
        <f t="shared" si="2"/>
        <v>31.534413373232894</v>
      </c>
    </row>
    <row r="170" spans="1:13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  <c r="M170" s="2">
        <f t="shared" si="2"/>
        <v>15.601840020444671</v>
      </c>
    </row>
    <row r="171" spans="1:13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  <c r="M171" s="2">
        <f t="shared" si="2"/>
        <v>15.601840020444671</v>
      </c>
    </row>
    <row r="172" spans="1:13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  <c r="M172" s="2">
        <f t="shared" si="2"/>
        <v>15.601840020444671</v>
      </c>
    </row>
    <row r="173" spans="1:13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  <c r="M173" s="2">
        <f t="shared" si="2"/>
        <v>31.2987012987013</v>
      </c>
    </row>
    <row r="174" spans="1:13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  <c r="M174" s="2">
        <f t="shared" si="2"/>
        <v>31.2987012987013</v>
      </c>
    </row>
    <row r="175" spans="1:13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  <c r="M175" s="2">
        <f t="shared" si="2"/>
        <v>16.149570490146541</v>
      </c>
    </row>
    <row r="176" spans="1:13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  <c r="M176" s="2">
        <f t="shared" si="2"/>
        <v>24.259628663495473</v>
      </c>
    </row>
    <row r="177" spans="1:13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  <c r="M177" s="2">
        <f t="shared" si="2"/>
        <v>24.259628663495473</v>
      </c>
    </row>
    <row r="178" spans="1:13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  <c r="M178" s="2">
        <f t="shared" si="2"/>
        <v>29.931389365351631</v>
      </c>
    </row>
    <row r="179" spans="1:13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  <c r="M179" s="2">
        <f t="shared" si="2"/>
        <v>29.931389365351631</v>
      </c>
    </row>
    <row r="180" spans="1:13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  <c r="M180" s="2">
        <f t="shared" si="2"/>
        <v>8.0753564154786162</v>
      </c>
    </row>
    <row r="181" spans="1:13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  <c r="M181" s="2">
        <f t="shared" si="2"/>
        <v>30.643466074973723</v>
      </c>
    </row>
    <row r="182" spans="1:13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  <c r="M182" s="2">
        <f t="shared" si="2"/>
        <v>6.3274037378968693</v>
      </c>
    </row>
    <row r="183" spans="1:13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  <c r="M183" s="2">
        <f t="shared" si="2"/>
        <v>30.940054495912804</v>
      </c>
    </row>
    <row r="184" spans="1:13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  <c r="M184" s="2">
        <f t="shared" si="2"/>
        <v>29.584711503123849</v>
      </c>
    </row>
    <row r="185" spans="1:13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  <c r="M185" s="2">
        <f t="shared" si="2"/>
        <v>20.633245382585752</v>
      </c>
    </row>
    <row r="186" spans="1:13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  <c r="M186" s="2">
        <f t="shared" si="2"/>
        <v>6.0492203644561338</v>
      </c>
    </row>
    <row r="187" spans="1:13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  <c r="M187" s="2">
        <f t="shared" si="2"/>
        <v>3.1525423728813564</v>
      </c>
    </row>
    <row r="188" spans="1:13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  <c r="M188" s="2">
        <f t="shared" si="2"/>
        <v>14.607130494980963</v>
      </c>
    </row>
    <row r="189" spans="1:13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  <c r="M189" s="2">
        <f t="shared" si="2"/>
        <v>1.5210777922642329</v>
      </c>
    </row>
    <row r="190" spans="1:13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  <c r="M190" s="2">
        <f t="shared" si="2"/>
        <v>34.231775275787555</v>
      </c>
    </row>
    <row r="191" spans="1:13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  <c r="M191" s="2">
        <f t="shared" si="2"/>
        <v>48.689669128807047</v>
      </c>
    </row>
    <row r="192" spans="1:13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  <c r="M192" s="2">
        <f t="shared" si="2"/>
        <v>48.689669128807047</v>
      </c>
    </row>
    <row r="193" spans="1:13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  <c r="M193" s="2">
        <f t="shared" si="2"/>
        <v>48.689669128807047</v>
      </c>
    </row>
    <row r="194" spans="1:13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  <c r="M194" s="2">
        <f t="shared" si="2"/>
        <v>22.744721689059503</v>
      </c>
    </row>
    <row r="195" spans="1:13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  <c r="M195" s="2">
        <f t="shared" ref="M195:M258" si="3">(C195/B195 )*100</f>
        <v>22.744721689059503</v>
      </c>
    </row>
    <row r="196" spans="1:13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  <c r="M196" s="2">
        <f t="shared" si="3"/>
        <v>22.744721689059503</v>
      </c>
    </row>
    <row r="197" spans="1:13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  <c r="M197" s="2">
        <f t="shared" si="3"/>
        <v>23.810856183547845</v>
      </c>
    </row>
    <row r="198" spans="1:13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  <c r="M198" s="2">
        <f t="shared" si="3"/>
        <v>13.194444444444445</v>
      </c>
    </row>
    <row r="199" spans="1:13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  <c r="M199" s="2">
        <f t="shared" si="3"/>
        <v>24.56989247311828</v>
      </c>
    </row>
    <row r="200" spans="1:13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  <c r="M200" s="2">
        <f t="shared" si="3"/>
        <v>47.826086956521742</v>
      </c>
    </row>
    <row r="201" spans="1:13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  <c r="M201" s="2">
        <f t="shared" si="3"/>
        <v>42.370167009837566</v>
      </c>
    </row>
    <row r="202" spans="1:13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  <c r="M202" s="2">
        <f t="shared" si="3"/>
        <v>14.090582314881381</v>
      </c>
    </row>
    <row r="203" spans="1:13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  <c r="M203" s="2">
        <f t="shared" si="3"/>
        <v>14.090582314881381</v>
      </c>
    </row>
    <row r="204" spans="1:13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  <c r="M204" s="2">
        <f t="shared" si="3"/>
        <v>14.090582314881381</v>
      </c>
    </row>
    <row r="205" spans="1:13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  <c r="M205" s="2">
        <f t="shared" si="3"/>
        <v>18.092634287552269</v>
      </c>
    </row>
    <row r="206" spans="1:13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  <c r="M206" s="2">
        <f t="shared" si="3"/>
        <v>18.092634287552269</v>
      </c>
    </row>
    <row r="207" spans="1:13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  <c r="M207" s="2">
        <f t="shared" si="3"/>
        <v>18.092634287552269</v>
      </c>
    </row>
    <row r="208" spans="1:13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  <c r="M208" s="2">
        <f t="shared" si="3"/>
        <v>4.896458293013354</v>
      </c>
    </row>
    <row r="209" spans="1:13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  <c r="M209" s="2">
        <f t="shared" si="3"/>
        <v>4.896458293013354</v>
      </c>
    </row>
    <row r="210" spans="1:13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  <c r="M210" s="2">
        <f t="shared" si="3"/>
        <v>4.896458293013354</v>
      </c>
    </row>
    <row r="211" spans="1:13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  <c r="M211" s="2">
        <f t="shared" si="3"/>
        <v>44.265809217577704</v>
      </c>
    </row>
    <row r="212" spans="1:13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  <c r="M212" s="2">
        <f t="shared" si="3"/>
        <v>44.265809217577704</v>
      </c>
    </row>
    <row r="213" spans="1:13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  <c r="M213" s="2">
        <f t="shared" si="3"/>
        <v>44.265809217577704</v>
      </c>
    </row>
    <row r="214" spans="1:13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  <c r="M214" s="2">
        <f t="shared" si="3"/>
        <v>31.818181818181817</v>
      </c>
    </row>
    <row r="215" spans="1:13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  <c r="M215" s="2">
        <f t="shared" si="3"/>
        <v>15.752032520325205</v>
      </c>
    </row>
    <row r="216" spans="1:13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  <c r="M216" s="2">
        <f t="shared" si="3"/>
        <v>24.377616215025334</v>
      </c>
    </row>
    <row r="217" spans="1:13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  <c r="M217" s="2">
        <f t="shared" si="3"/>
        <v>44.560913114372234</v>
      </c>
    </row>
    <row r="218" spans="1:13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  <c r="M218" s="2">
        <f t="shared" si="3"/>
        <v>44.560913114372234</v>
      </c>
    </row>
    <row r="219" spans="1:13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  <c r="M219" s="2">
        <f t="shared" si="3"/>
        <v>43.808202892807607</v>
      </c>
    </row>
    <row r="220" spans="1:13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  <c r="M220" s="2">
        <f t="shared" si="3"/>
        <v>43.808202892807607</v>
      </c>
    </row>
    <row r="221" spans="1:13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  <c r="M221" s="2">
        <f t="shared" si="3"/>
        <v>43.808202892807607</v>
      </c>
    </row>
    <row r="222" spans="1:13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  <c r="M222" s="2">
        <f t="shared" si="3"/>
        <v>43.808202892807607</v>
      </c>
    </row>
    <row r="223" spans="1:13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  <c r="M223" s="2">
        <f t="shared" si="3"/>
        <v>4.4572053595843588</v>
      </c>
    </row>
    <row r="224" spans="1:13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  <c r="M224" s="2">
        <f t="shared" si="3"/>
        <v>43.919023334878688</v>
      </c>
    </row>
    <row r="225" spans="1:13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  <c r="M225" s="2">
        <f t="shared" si="3"/>
        <v>31.717597471022131</v>
      </c>
    </row>
    <row r="226" spans="1:13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  <c r="M226" s="2">
        <f t="shared" si="3"/>
        <v>11.300014656309541</v>
      </c>
    </row>
    <row r="227" spans="1:13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  <c r="M227" s="2">
        <f t="shared" si="3"/>
        <v>19.042163153070575</v>
      </c>
    </row>
    <row r="228" spans="1:13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  <c r="M228" s="2">
        <f t="shared" si="3"/>
        <v>41.927746964473094</v>
      </c>
    </row>
    <row r="229" spans="1:13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  <c r="M229" s="2">
        <f t="shared" si="3"/>
        <v>13.878479657387579</v>
      </c>
    </row>
    <row r="230" spans="1:13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  <c r="M230" s="2">
        <f t="shared" si="3"/>
        <v>18.914956011730204</v>
      </c>
    </row>
    <row r="231" spans="1:13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  <c r="M231" s="2">
        <f t="shared" si="3"/>
        <v>48.214976156721228</v>
      </c>
    </row>
    <row r="232" spans="1:13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  <c r="M232" s="2">
        <f t="shared" si="3"/>
        <v>48.214976156721228</v>
      </c>
    </row>
    <row r="233" spans="1:13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  <c r="M233" s="2">
        <f t="shared" si="3"/>
        <v>45.964632362717722</v>
      </c>
    </row>
    <row r="234" spans="1:13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  <c r="M234" s="2">
        <f t="shared" si="3"/>
        <v>45.964632362717722</v>
      </c>
    </row>
    <row r="235" spans="1:13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  <c r="M235" s="2">
        <f t="shared" si="3"/>
        <v>44.713520197856553</v>
      </c>
    </row>
    <row r="236" spans="1:13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  <c r="M236" s="2">
        <f t="shared" si="3"/>
        <v>47.615198059822148</v>
      </c>
    </row>
    <row r="237" spans="1:13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  <c r="M237" s="2">
        <f t="shared" si="3"/>
        <v>5.1903651903651902</v>
      </c>
    </row>
    <row r="238" spans="1:13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  <c r="M238" s="2">
        <f t="shared" si="3"/>
        <v>30.436527847466131</v>
      </c>
    </row>
    <row r="239" spans="1:13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  <c r="M239" s="2">
        <f t="shared" si="3"/>
        <v>30.436527847466131</v>
      </c>
    </row>
    <row r="240" spans="1:13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  <c r="M240" s="2">
        <f t="shared" si="3"/>
        <v>15.364412344057781</v>
      </c>
    </row>
    <row r="241" spans="1:13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  <c r="M241" s="2">
        <f t="shared" si="3"/>
        <v>4.6732062162460046</v>
      </c>
    </row>
    <row r="242" spans="1:13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  <c r="M242" s="2">
        <f t="shared" si="3"/>
        <v>47.758647432914536</v>
      </c>
    </row>
    <row r="243" spans="1:13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  <c r="M243" s="2">
        <f t="shared" si="3"/>
        <v>31.373644797138706</v>
      </c>
    </row>
    <row r="244" spans="1:13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  <c r="M244" s="2">
        <f t="shared" si="3"/>
        <v>43.763676148796499</v>
      </c>
    </row>
    <row r="245" spans="1:13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  <c r="M245" s="2">
        <f t="shared" si="3"/>
        <v>43.02325581395349</v>
      </c>
    </row>
    <row r="246" spans="1:13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  <c r="M246" s="2">
        <f t="shared" si="3"/>
        <v>41.645523740485686</v>
      </c>
    </row>
    <row r="247" spans="1:13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  <c r="M247" s="2">
        <f t="shared" si="3"/>
        <v>45.861297539149888</v>
      </c>
    </row>
    <row r="248" spans="1:13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  <c r="M248" s="2">
        <f t="shared" si="3"/>
        <v>27.093696071464823</v>
      </c>
    </row>
    <row r="249" spans="1:13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  <c r="M249" s="2">
        <f t="shared" si="3"/>
        <v>27.093696071464823</v>
      </c>
    </row>
    <row r="250" spans="1:13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  <c r="M250" s="2">
        <f t="shared" si="3"/>
        <v>27.093696071464823</v>
      </c>
    </row>
    <row r="251" spans="1:13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  <c r="M251" s="2">
        <f t="shared" si="3"/>
        <v>39.343277605365898</v>
      </c>
    </row>
    <row r="252" spans="1:13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  <c r="M252" s="2">
        <f t="shared" si="3"/>
        <v>39.343277605365898</v>
      </c>
    </row>
    <row r="253" spans="1:13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  <c r="M253" s="2">
        <f t="shared" si="3"/>
        <v>39.343277605365898</v>
      </c>
    </row>
    <row r="254" spans="1:13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  <c r="M254" s="2">
        <f t="shared" si="3"/>
        <v>12.909311413556123</v>
      </c>
    </row>
    <row r="255" spans="1:13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  <c r="M255" s="2">
        <f t="shared" si="3"/>
        <v>12.909311413556123</v>
      </c>
    </row>
    <row r="256" spans="1:13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  <c r="M256" s="2">
        <f t="shared" si="3"/>
        <v>12.909311413556123</v>
      </c>
    </row>
    <row r="257" spans="1:13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  <c r="M257" s="2">
        <f t="shared" si="3"/>
        <v>15.456598902871892</v>
      </c>
    </row>
    <row r="258" spans="1:13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  <c r="M258" s="2">
        <f t="shared" si="3"/>
        <v>35.938119793732646</v>
      </c>
    </row>
    <row r="259" spans="1:13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  <c r="M259" s="2">
        <f t="shared" ref="M259:M322" si="4">(C259/B259 )*100</f>
        <v>49.253088193047972</v>
      </c>
    </row>
    <row r="260" spans="1:13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  <c r="M260" s="2">
        <f t="shared" si="4"/>
        <v>49.253088193047972</v>
      </c>
    </row>
    <row r="261" spans="1:13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  <c r="M261" s="2">
        <f t="shared" si="4"/>
        <v>27.741935483870968</v>
      </c>
    </row>
    <row r="262" spans="1:13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  <c r="M262" s="2">
        <f t="shared" si="4"/>
        <v>46.341463414634148</v>
      </c>
    </row>
    <row r="263" spans="1:13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  <c r="M263" s="2">
        <f t="shared" si="4"/>
        <v>46.341463414634148</v>
      </c>
    </row>
    <row r="264" spans="1:13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  <c r="M264" s="2">
        <f t="shared" si="4"/>
        <v>46.341463414634148</v>
      </c>
    </row>
    <row r="265" spans="1:13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  <c r="M265" s="2">
        <f t="shared" si="4"/>
        <v>46.341463414634148</v>
      </c>
    </row>
    <row r="266" spans="1:13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  <c r="M266" s="2">
        <f t="shared" si="4"/>
        <v>17.715959004392388</v>
      </c>
    </row>
    <row r="267" spans="1:13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  <c r="M267" s="2">
        <f t="shared" si="4"/>
        <v>10.210803689064559</v>
      </c>
    </row>
    <row r="268" spans="1:13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  <c r="M268" s="2">
        <f t="shared" si="4"/>
        <v>49.628629304523969</v>
      </c>
    </row>
    <row r="269" spans="1:13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  <c r="M269" s="2">
        <f t="shared" si="4"/>
        <v>49.628629304523969</v>
      </c>
    </row>
    <row r="270" spans="1:13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  <c r="M270" s="2">
        <f t="shared" si="4"/>
        <v>10.068714065348479</v>
      </c>
    </row>
    <row r="271" spans="1:13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  <c r="M271" s="2">
        <f t="shared" si="4"/>
        <v>10.068714065348479</v>
      </c>
    </row>
    <row r="272" spans="1:13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  <c r="M272" s="2">
        <f t="shared" si="4"/>
        <v>20.357142857142858</v>
      </c>
    </row>
    <row r="273" spans="1:13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  <c r="M273" s="2">
        <f t="shared" si="4"/>
        <v>20.357142857142858</v>
      </c>
    </row>
    <row r="274" spans="1:13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  <c r="M274" s="2">
        <f t="shared" si="4"/>
        <v>26.339737108190093</v>
      </c>
    </row>
    <row r="275" spans="1:13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  <c r="M275" s="2">
        <f t="shared" si="4"/>
        <v>11.921510551647538</v>
      </c>
    </row>
    <row r="276" spans="1:13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  <c r="M276" s="2">
        <f t="shared" si="4"/>
        <v>37.151106833493749</v>
      </c>
    </row>
    <row r="277" spans="1:13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  <c r="M277" s="2">
        <f t="shared" si="4"/>
        <v>28.356997971602432</v>
      </c>
    </row>
    <row r="278" spans="1:13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  <c r="M278" s="2">
        <f t="shared" si="4"/>
        <v>31.244610520264445</v>
      </c>
    </row>
    <row r="279" spans="1:13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  <c r="M279" s="2">
        <f t="shared" si="4"/>
        <v>32.343778632948506</v>
      </c>
    </row>
    <row r="280" spans="1:13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  <c r="M280" s="2">
        <f t="shared" si="4"/>
        <v>23.239862820254189</v>
      </c>
    </row>
    <row r="281" spans="1:13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  <c r="M281" s="2">
        <f t="shared" si="4"/>
        <v>19.482288828337875</v>
      </c>
    </row>
    <row r="282" spans="1:13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  <c r="M282" s="2">
        <f t="shared" si="4"/>
        <v>28.817228805834095</v>
      </c>
    </row>
    <row r="283" spans="1:13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  <c r="M283" s="2">
        <f t="shared" si="4"/>
        <v>15.069211409395974</v>
      </c>
    </row>
    <row r="284" spans="1:13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  <c r="M284" s="2">
        <f t="shared" si="4"/>
        <v>26.471910112359549</v>
      </c>
    </row>
    <row r="285" spans="1:13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  <c r="M285" s="2">
        <f t="shared" si="4"/>
        <v>42.249843325673694</v>
      </c>
    </row>
    <row r="286" spans="1:13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  <c r="M286" s="2">
        <f t="shared" si="4"/>
        <v>10.999543587403013</v>
      </c>
    </row>
    <row r="287" spans="1:13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  <c r="M287" s="2">
        <f t="shared" si="4"/>
        <v>3.1341463414634148</v>
      </c>
    </row>
    <row r="288" spans="1:13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  <c r="M288" s="2">
        <f t="shared" si="4"/>
        <v>32.234864748819234</v>
      </c>
    </row>
    <row r="289" spans="1:13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  <c r="M289" s="2">
        <f t="shared" si="4"/>
        <v>49.03589904373726</v>
      </c>
    </row>
    <row r="290" spans="1:13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  <c r="M290" s="2">
        <f t="shared" si="4"/>
        <v>16.965352449223417</v>
      </c>
    </row>
    <row r="291" spans="1:13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  <c r="M291" s="2">
        <f t="shared" si="4"/>
        <v>16.965352449223417</v>
      </c>
    </row>
    <row r="292" spans="1:13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  <c r="M292" s="2">
        <f t="shared" si="4"/>
        <v>22.809394760614275</v>
      </c>
    </row>
    <row r="293" spans="1:13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  <c r="M293" s="2">
        <f t="shared" si="4"/>
        <v>22.809394760614275</v>
      </c>
    </row>
    <row r="294" spans="1:13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  <c r="M294" s="2">
        <f t="shared" si="4"/>
        <v>35.170454545454547</v>
      </c>
    </row>
    <row r="295" spans="1:13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  <c r="M295" s="2">
        <f t="shared" si="4"/>
        <v>35.170454545454547</v>
      </c>
    </row>
    <row r="296" spans="1:13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  <c r="M296" s="2">
        <f t="shared" si="4"/>
        <v>15.52511415525114</v>
      </c>
    </row>
    <row r="297" spans="1:13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  <c r="M297" s="2">
        <f t="shared" si="4"/>
        <v>15.52511415525114</v>
      </c>
    </row>
    <row r="298" spans="1:13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  <c r="M298" s="2">
        <f t="shared" si="4"/>
        <v>42.922899884925201</v>
      </c>
    </row>
    <row r="299" spans="1:13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  <c r="M299" s="2">
        <f t="shared" si="4"/>
        <v>42.922899884925201</v>
      </c>
    </row>
    <row r="300" spans="1:13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  <c r="M300" s="2">
        <f t="shared" si="4"/>
        <v>7.6716016150740236</v>
      </c>
    </row>
    <row r="301" spans="1:13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  <c r="M301" s="2">
        <f t="shared" si="4"/>
        <v>7.6716016150740236</v>
      </c>
    </row>
    <row r="302" spans="1:13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  <c r="M302" s="2">
        <f t="shared" si="4"/>
        <v>4.8349449816605539</v>
      </c>
    </row>
    <row r="303" spans="1:13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  <c r="M303" s="2">
        <f t="shared" si="4"/>
        <v>37.261765849863863</v>
      </c>
    </row>
    <row r="304" spans="1:13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  <c r="M304" s="2">
        <f t="shared" si="4"/>
        <v>46.408393866020987</v>
      </c>
    </row>
    <row r="305" spans="1:13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  <c r="M305" s="2">
        <f t="shared" si="4"/>
        <v>46.408393866020987</v>
      </c>
    </row>
    <row r="306" spans="1:13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  <c r="M306" s="2">
        <f t="shared" si="4"/>
        <v>40.808240887480189</v>
      </c>
    </row>
    <row r="307" spans="1:13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  <c r="M307" s="2">
        <f t="shared" si="4"/>
        <v>40.808240887480189</v>
      </c>
    </row>
    <row r="308" spans="1:13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  <c r="M308" s="2">
        <f t="shared" si="4"/>
        <v>24.588576960309776</v>
      </c>
    </row>
    <row r="309" spans="1:13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  <c r="M309" s="2">
        <f t="shared" si="4"/>
        <v>10.474308300395258</v>
      </c>
    </row>
    <row r="310" spans="1:13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  <c r="M310" s="2">
        <f t="shared" si="4"/>
        <v>28.481528959328749</v>
      </c>
    </row>
    <row r="311" spans="1:13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  <c r="M311" s="2">
        <f t="shared" si="4"/>
        <v>28.481528959328749</v>
      </c>
    </row>
    <row r="312" spans="1:13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  <c r="M312" s="2">
        <f t="shared" si="4"/>
        <v>39.674378748928881</v>
      </c>
    </row>
    <row r="313" spans="1:13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  <c r="M313" s="2">
        <f t="shared" si="4"/>
        <v>28.264695529743051</v>
      </c>
    </row>
    <row r="314" spans="1:13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  <c r="M314" s="2">
        <f t="shared" si="4"/>
        <v>38.010563380281695</v>
      </c>
    </row>
    <row r="315" spans="1:13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  <c r="M315" s="2">
        <f t="shared" si="4"/>
        <v>29.03461725987323</v>
      </c>
    </row>
    <row r="316" spans="1:13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  <c r="M316" s="2">
        <f t="shared" si="4"/>
        <v>29.03461725987323</v>
      </c>
    </row>
    <row r="317" spans="1:13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  <c r="M317" s="2">
        <f t="shared" si="4"/>
        <v>31.719298245614034</v>
      </c>
    </row>
    <row r="318" spans="1:13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  <c r="M318" s="2">
        <f t="shared" si="4"/>
        <v>31.719298245614034</v>
      </c>
    </row>
    <row r="319" spans="1:13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  <c r="M319" s="2">
        <f t="shared" si="4"/>
        <v>43.109151047409036</v>
      </c>
    </row>
    <row r="320" spans="1:13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  <c r="M320" s="2">
        <f t="shared" si="4"/>
        <v>12.189512419503219</v>
      </c>
    </row>
    <row r="321" spans="1:13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  <c r="M321" s="2">
        <f t="shared" si="4"/>
        <v>23.756000468329237</v>
      </c>
    </row>
    <row r="322" spans="1:13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  <c r="M322" s="2">
        <f t="shared" si="4"/>
        <v>28.534438114966338</v>
      </c>
    </row>
    <row r="323" spans="1:13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  <c r="M323" s="2">
        <f t="shared" ref="M323:M386" si="5">(C323/B323 )*100</f>
        <v>26.541764246682281</v>
      </c>
    </row>
    <row r="324" spans="1:13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  <c r="M324" s="2">
        <f t="shared" si="5"/>
        <v>10.524126455906822</v>
      </c>
    </row>
    <row r="325" spans="1:13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  <c r="M325" s="2">
        <f t="shared" si="5"/>
        <v>9.2496460594620107</v>
      </c>
    </row>
    <row r="326" spans="1:13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  <c r="M326" s="2">
        <f t="shared" si="5"/>
        <v>18.202103920943578</v>
      </c>
    </row>
    <row r="327" spans="1:13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  <c r="M327" s="2">
        <f t="shared" si="5"/>
        <v>31.295738269479124</v>
      </c>
    </row>
    <row r="328" spans="1:13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  <c r="M328" s="2">
        <f t="shared" si="5"/>
        <v>29.678362573099413</v>
      </c>
    </row>
    <row r="329" spans="1:13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  <c r="M329" s="2">
        <f t="shared" si="5"/>
        <v>35.734463276836159</v>
      </c>
    </row>
    <row r="330" spans="1:13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  <c r="M330" s="2">
        <f t="shared" si="5"/>
        <v>35.734463276836159</v>
      </c>
    </row>
    <row r="331" spans="1:13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  <c r="M331" s="2">
        <f t="shared" si="5"/>
        <v>37.376187588437439</v>
      </c>
    </row>
    <row r="332" spans="1:13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  <c r="M332" s="2">
        <f t="shared" si="5"/>
        <v>37.376187588437439</v>
      </c>
    </row>
    <row r="333" spans="1:13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  <c r="M333" s="2">
        <f t="shared" si="5"/>
        <v>26.738068395340097</v>
      </c>
    </row>
    <row r="334" spans="1:13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  <c r="M334" s="2">
        <f t="shared" si="5"/>
        <v>26.738068395340097</v>
      </c>
    </row>
    <row r="335" spans="1:13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  <c r="M335" s="2">
        <f t="shared" si="5"/>
        <v>20.967741935483872</v>
      </c>
    </row>
    <row r="336" spans="1:13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  <c r="M336" s="2">
        <f t="shared" si="5"/>
        <v>11.177382798520815</v>
      </c>
    </row>
    <row r="337" spans="1:13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  <c r="M337" s="2">
        <f t="shared" si="5"/>
        <v>10.859788359788359</v>
      </c>
    </row>
    <row r="338" spans="1:13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  <c r="M338" s="2">
        <f t="shared" si="5"/>
        <v>37.290715372907151</v>
      </c>
    </row>
    <row r="339" spans="1:13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  <c r="M339" s="2">
        <f t="shared" si="5"/>
        <v>4.0774487471526202</v>
      </c>
    </row>
    <row r="340" spans="1:13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  <c r="M340" s="2">
        <f t="shared" si="5"/>
        <v>5.0434782608695654</v>
      </c>
    </row>
    <row r="341" spans="1:13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  <c r="M341" s="2">
        <f t="shared" si="5"/>
        <v>16.391359593392629</v>
      </c>
    </row>
    <row r="342" spans="1:13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  <c r="M342" s="2">
        <f t="shared" si="5"/>
        <v>5.6433007985803014</v>
      </c>
    </row>
    <row r="343" spans="1:13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  <c r="M343" s="2">
        <f t="shared" si="5"/>
        <v>14.750575594781273</v>
      </c>
    </row>
    <row r="344" spans="1:13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  <c r="M344" s="2">
        <f t="shared" si="5"/>
        <v>17.384240454914703</v>
      </c>
    </row>
    <row r="345" spans="1:13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  <c r="M345" s="2">
        <f t="shared" si="5"/>
        <v>17.384240454914703</v>
      </c>
    </row>
    <row r="346" spans="1:13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  <c r="M346" s="2">
        <f t="shared" si="5"/>
        <v>36.700043535045715</v>
      </c>
    </row>
    <row r="347" spans="1:13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  <c r="M347" s="2">
        <f t="shared" si="5"/>
        <v>30.67517278043594</v>
      </c>
    </row>
    <row r="348" spans="1:13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  <c r="M348" s="2">
        <f t="shared" si="5"/>
        <v>26.573426573426573</v>
      </c>
    </row>
    <row r="349" spans="1:13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  <c r="M349" s="2">
        <f t="shared" si="5"/>
        <v>10.249110320284698</v>
      </c>
    </row>
    <row r="350" spans="1:13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  <c r="M350" s="2">
        <f t="shared" si="5"/>
        <v>35.048231511254016</v>
      </c>
    </row>
    <row r="351" spans="1:13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  <c r="M351" s="2">
        <f t="shared" si="5"/>
        <v>28.205128205128204</v>
      </c>
    </row>
    <row r="352" spans="1:13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  <c r="M352" s="2">
        <f t="shared" si="5"/>
        <v>48.603491271820445</v>
      </c>
    </row>
    <row r="353" spans="1:13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  <c r="M353" s="2">
        <f t="shared" si="5"/>
        <v>21.491885994817945</v>
      </c>
    </row>
    <row r="354" spans="1:13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  <c r="M354" s="2">
        <f t="shared" si="5"/>
        <v>14.746423927178153</v>
      </c>
    </row>
    <row r="355" spans="1:13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  <c r="M355" s="2">
        <f t="shared" si="5"/>
        <v>26.973684210526315</v>
      </c>
    </row>
    <row r="356" spans="1:13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  <c r="M356" s="2">
        <f t="shared" si="5"/>
        <v>32.031529917592259</v>
      </c>
    </row>
    <row r="357" spans="1:13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  <c r="M357" s="2">
        <f t="shared" si="5"/>
        <v>32.031529917592259</v>
      </c>
    </row>
    <row r="358" spans="1:13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  <c r="M358" s="2">
        <f t="shared" si="5"/>
        <v>32.031529917592259</v>
      </c>
    </row>
    <row r="359" spans="1:13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  <c r="M359" s="2">
        <f t="shared" si="5"/>
        <v>23.750602603246023</v>
      </c>
    </row>
    <row r="360" spans="1:13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  <c r="M360" s="2">
        <f t="shared" si="5"/>
        <v>23.750602603246023</v>
      </c>
    </row>
    <row r="361" spans="1:13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  <c r="M361" s="2">
        <f t="shared" si="5"/>
        <v>23.750602603246023</v>
      </c>
    </row>
    <row r="362" spans="1:13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  <c r="M362" s="2">
        <f t="shared" si="5"/>
        <v>34.898803533489883</v>
      </c>
    </row>
    <row r="363" spans="1:13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  <c r="M363" s="2">
        <f t="shared" si="5"/>
        <v>34.898803533489883</v>
      </c>
    </row>
    <row r="364" spans="1:13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  <c r="M364" s="2">
        <f t="shared" si="5"/>
        <v>34.898803533489883</v>
      </c>
    </row>
    <row r="365" spans="1:13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  <c r="M365" s="2">
        <f t="shared" si="5"/>
        <v>3.0937215650591448</v>
      </c>
    </row>
    <row r="366" spans="1:13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  <c r="M366" s="2">
        <f t="shared" si="5"/>
        <v>3.0937215650591448</v>
      </c>
    </row>
    <row r="367" spans="1:13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  <c r="M367" s="2">
        <f t="shared" si="5"/>
        <v>3.0937215650591448</v>
      </c>
    </row>
    <row r="368" spans="1:13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  <c r="M368" s="2">
        <f t="shared" si="5"/>
        <v>22.682175846732807</v>
      </c>
    </row>
    <row r="369" spans="1:13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  <c r="M369" s="2">
        <f t="shared" si="5"/>
        <v>20.845754664900078</v>
      </c>
    </row>
    <row r="370" spans="1:13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  <c r="M370" s="2">
        <f t="shared" si="5"/>
        <v>47.712703962703962</v>
      </c>
    </row>
    <row r="371" spans="1:13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  <c r="M371" s="2">
        <f t="shared" si="5"/>
        <v>8.7934782608695645</v>
      </c>
    </row>
    <row r="372" spans="1:13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  <c r="M372" s="2">
        <f t="shared" si="5"/>
        <v>41.027318828725669</v>
      </c>
    </row>
    <row r="373" spans="1:13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  <c r="M373" s="2">
        <f t="shared" si="5"/>
        <v>36.001551791025477</v>
      </c>
    </row>
    <row r="374" spans="1:13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  <c r="M374" s="2">
        <f t="shared" si="5"/>
        <v>1.8066635382449556</v>
      </c>
    </row>
    <row r="375" spans="1:13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  <c r="M375" s="2">
        <f t="shared" si="5"/>
        <v>37.885889768870214</v>
      </c>
    </row>
    <row r="376" spans="1:13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  <c r="M376" s="2">
        <f t="shared" si="5"/>
        <v>3.3913840513290556</v>
      </c>
    </row>
    <row r="377" spans="1:13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  <c r="M377" s="2">
        <f t="shared" si="5"/>
        <v>38.858695652173914</v>
      </c>
    </row>
    <row r="378" spans="1:13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  <c r="M378" s="2">
        <f t="shared" si="5"/>
        <v>6.3907117617364966</v>
      </c>
    </row>
    <row r="379" spans="1:13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  <c r="M379" s="2">
        <f t="shared" si="5"/>
        <v>6.3907117617364966</v>
      </c>
    </row>
    <row r="380" spans="1:13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  <c r="M380" s="2">
        <f t="shared" si="5"/>
        <v>48.977135980746091</v>
      </c>
    </row>
    <row r="381" spans="1:13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  <c r="M381" s="2">
        <f t="shared" si="5"/>
        <v>9.7776424002436801</v>
      </c>
    </row>
    <row r="382" spans="1:13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  <c r="M382" s="2">
        <f t="shared" si="5"/>
        <v>23.488168273444344</v>
      </c>
    </row>
    <row r="383" spans="1:13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  <c r="M383" s="2">
        <f t="shared" si="5"/>
        <v>23.488168273444344</v>
      </c>
    </row>
    <row r="384" spans="1:13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  <c r="M384" s="2">
        <f t="shared" si="5"/>
        <v>23.488168273444344</v>
      </c>
    </row>
    <row r="385" spans="1:13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  <c r="M385" s="2">
        <f t="shared" si="5"/>
        <v>23.488168273444344</v>
      </c>
    </row>
    <row r="386" spans="1:13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  <c r="M386" s="2">
        <f t="shared" si="5"/>
        <v>23.488168273444344</v>
      </c>
    </row>
    <row r="387" spans="1:13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  <c r="M387" s="2">
        <f t="shared" ref="M387:M450" si="6">(C387/B387 )*100</f>
        <v>2.9487179487179485</v>
      </c>
    </row>
    <row r="388" spans="1:13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  <c r="M388" s="2">
        <f t="shared" si="6"/>
        <v>28.23295985060691</v>
      </c>
    </row>
    <row r="389" spans="1:13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  <c r="M389" s="2">
        <f t="shared" si="6"/>
        <v>2.1626561072190067</v>
      </c>
    </row>
    <row r="390" spans="1:13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  <c r="M390" s="2">
        <f t="shared" si="6"/>
        <v>48.671987439487111</v>
      </c>
    </row>
    <row r="391" spans="1:13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  <c r="M391" s="2">
        <f t="shared" si="6"/>
        <v>44.409130309159202</v>
      </c>
    </row>
    <row r="392" spans="1:13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  <c r="M392" s="2">
        <f t="shared" si="6"/>
        <v>25.166258312915645</v>
      </c>
    </row>
    <row r="393" spans="1:13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  <c r="M393" s="2">
        <f t="shared" si="6"/>
        <v>37.814689852063324</v>
      </c>
    </row>
    <row r="394" spans="1:13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  <c r="M394" s="2">
        <f t="shared" si="6"/>
        <v>7.1642287234042552</v>
      </c>
    </row>
    <row r="395" spans="1:13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  <c r="M395" s="2">
        <f t="shared" si="6"/>
        <v>15.813953488372093</v>
      </c>
    </row>
    <row r="396" spans="1:13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  <c r="M396" s="2">
        <f t="shared" si="6"/>
        <v>15.813953488372093</v>
      </c>
    </row>
    <row r="397" spans="1:13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  <c r="M397" s="2">
        <f t="shared" si="6"/>
        <v>37.054059969358718</v>
      </c>
    </row>
    <row r="398" spans="1:13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  <c r="M398" s="2">
        <f t="shared" si="6"/>
        <v>37.333765812520269</v>
      </c>
    </row>
    <row r="399" spans="1:13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  <c r="M399" s="2">
        <f t="shared" si="6"/>
        <v>25.496876774559908</v>
      </c>
    </row>
    <row r="400" spans="1:13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  <c r="M400" s="2">
        <f t="shared" si="6"/>
        <v>25.496876774559908</v>
      </c>
    </row>
    <row r="401" spans="1:13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  <c r="M401" s="2">
        <f t="shared" si="6"/>
        <v>49.335707437337348</v>
      </c>
    </row>
    <row r="402" spans="1:13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  <c r="M402" s="2">
        <f t="shared" si="6"/>
        <v>2.7117884356790674</v>
      </c>
    </row>
    <row r="403" spans="1:13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  <c r="M403" s="2">
        <f t="shared" si="6"/>
        <v>30.280103026400518</v>
      </c>
    </row>
    <row r="404" spans="1:13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  <c r="M404" s="2">
        <f t="shared" si="6"/>
        <v>34.41768065557487</v>
      </c>
    </row>
    <row r="405" spans="1:13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  <c r="M405" s="2">
        <f t="shared" si="6"/>
        <v>19.689737470167064</v>
      </c>
    </row>
    <row r="406" spans="1:13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  <c r="M406" s="2">
        <f t="shared" si="6"/>
        <v>28.851540616246496</v>
      </c>
    </row>
    <row r="407" spans="1:13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  <c r="M407" s="2">
        <f t="shared" si="6"/>
        <v>31.952449567723345</v>
      </c>
    </row>
    <row r="408" spans="1:13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  <c r="M408" s="2">
        <f t="shared" si="6"/>
        <v>15.057261842790211</v>
      </c>
    </row>
    <row r="409" spans="1:13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  <c r="M409" s="2">
        <f t="shared" si="6"/>
        <v>15.057261842790211</v>
      </c>
    </row>
    <row r="410" spans="1:13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  <c r="M410" s="2">
        <f t="shared" si="6"/>
        <v>15.057261842790211</v>
      </c>
    </row>
    <row r="411" spans="1:13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  <c r="M411" s="2">
        <f t="shared" si="6"/>
        <v>41.577896138482025</v>
      </c>
    </row>
    <row r="412" spans="1:13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  <c r="M412" s="2">
        <f t="shared" si="6"/>
        <v>35.375816993464056</v>
      </c>
    </row>
    <row r="413" spans="1:13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  <c r="M413" s="2">
        <f t="shared" si="6"/>
        <v>46.422388920946332</v>
      </c>
    </row>
    <row r="414" spans="1:13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  <c r="M414" s="2">
        <f t="shared" si="6"/>
        <v>22.018585441404234</v>
      </c>
    </row>
    <row r="415" spans="1:13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  <c r="M415" s="2">
        <f t="shared" si="6"/>
        <v>43.30042313117066</v>
      </c>
    </row>
    <row r="416" spans="1:13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  <c r="M416" s="2">
        <f t="shared" si="6"/>
        <v>6.4516129032258061</v>
      </c>
    </row>
    <row r="417" spans="1:13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  <c r="M417" s="2">
        <f t="shared" si="6"/>
        <v>30.41970169961845</v>
      </c>
    </row>
    <row r="418" spans="1:13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  <c r="M418" s="2">
        <f t="shared" si="6"/>
        <v>30.41970169961845</v>
      </c>
    </row>
    <row r="419" spans="1:13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  <c r="M419" s="2">
        <f t="shared" si="6"/>
        <v>1.2686020980727006</v>
      </c>
    </row>
    <row r="420" spans="1:13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  <c r="M420" s="2">
        <f t="shared" si="6"/>
        <v>12.760929499803073</v>
      </c>
    </row>
    <row r="421" spans="1:13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  <c r="M421" s="2">
        <f t="shared" si="6"/>
        <v>31.102082275266635</v>
      </c>
    </row>
    <row r="422" spans="1:13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  <c r="M422" s="2">
        <f t="shared" si="6"/>
        <v>48.638400551533955</v>
      </c>
    </row>
    <row r="423" spans="1:13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  <c r="M423" s="2">
        <f t="shared" si="6"/>
        <v>48.638400551533955</v>
      </c>
    </row>
    <row r="424" spans="1:13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  <c r="M424" s="2">
        <f t="shared" si="6"/>
        <v>16.613787135852323</v>
      </c>
    </row>
    <row r="425" spans="1:13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  <c r="M425" s="2">
        <f t="shared" si="6"/>
        <v>16.613787135852323</v>
      </c>
    </row>
    <row r="426" spans="1:13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  <c r="M426" s="2">
        <f t="shared" si="6"/>
        <v>27.033195020746888</v>
      </c>
    </row>
    <row r="427" spans="1:13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  <c r="M427" s="2">
        <f t="shared" si="6"/>
        <v>24.981084489281212</v>
      </c>
    </row>
    <row r="428" spans="1:13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  <c r="M428" s="2">
        <f t="shared" si="6"/>
        <v>24.981084489281212</v>
      </c>
    </row>
    <row r="429" spans="1:13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  <c r="M429" s="2">
        <f t="shared" si="6"/>
        <v>8.3788154437032532</v>
      </c>
    </row>
    <row r="430" spans="1:13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  <c r="M430" s="2">
        <f t="shared" si="6"/>
        <v>49.294221438023825</v>
      </c>
    </row>
    <row r="431" spans="1:13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  <c r="M431" s="2">
        <f t="shared" si="6"/>
        <v>3.7874160048869885</v>
      </c>
    </row>
    <row r="432" spans="1:13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  <c r="M432" s="2">
        <f t="shared" si="6"/>
        <v>35.593220338983052</v>
      </c>
    </row>
    <row r="433" spans="1:13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  <c r="M433" s="2">
        <f t="shared" si="6"/>
        <v>35.881322756773464</v>
      </c>
    </row>
    <row r="434" spans="1:13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  <c r="M434" s="2">
        <f t="shared" si="6"/>
        <v>30.325079216054451</v>
      </c>
    </row>
    <row r="435" spans="1:13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  <c r="M435" s="2">
        <f t="shared" si="6"/>
        <v>40.613889547286085</v>
      </c>
    </row>
    <row r="436" spans="1:13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  <c r="M436" s="2">
        <f t="shared" si="6"/>
        <v>6.45352279455299</v>
      </c>
    </row>
    <row r="437" spans="1:13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  <c r="M437" s="2">
        <f t="shared" si="6"/>
        <v>41.310975609756099</v>
      </c>
    </row>
    <row r="438" spans="1:13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  <c r="M438" s="2">
        <f t="shared" si="6"/>
        <v>22.873173277661795</v>
      </c>
    </row>
    <row r="439" spans="1:13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  <c r="M439" s="2">
        <f t="shared" si="6"/>
        <v>35.783633841886271</v>
      </c>
    </row>
    <row r="440" spans="1:13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  <c r="M440" s="2">
        <f t="shared" si="6"/>
        <v>35.783633841886271</v>
      </c>
    </row>
    <row r="441" spans="1:13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  <c r="M441" s="2">
        <f t="shared" si="6"/>
        <v>36.525585844093733</v>
      </c>
    </row>
    <row r="442" spans="1:13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  <c r="M442" s="2">
        <f t="shared" si="6"/>
        <v>36.525585844093733</v>
      </c>
    </row>
    <row r="443" spans="1:13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  <c r="M443" s="2">
        <f t="shared" si="6"/>
        <v>38.61291555215896</v>
      </c>
    </row>
    <row r="444" spans="1:13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  <c r="M444" s="2">
        <f t="shared" si="6"/>
        <v>38.61291555215896</v>
      </c>
    </row>
    <row r="445" spans="1:13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  <c r="M445" s="2">
        <f t="shared" si="6"/>
        <v>39.528397565922923</v>
      </c>
    </row>
    <row r="446" spans="1:13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  <c r="M446" s="2">
        <f t="shared" si="6"/>
        <v>15.571449858441365</v>
      </c>
    </row>
    <row r="447" spans="1:13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  <c r="M447" s="2">
        <f t="shared" si="6"/>
        <v>14.192009540846751</v>
      </c>
    </row>
    <row r="448" spans="1:13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  <c r="M448" s="2">
        <f t="shared" si="6"/>
        <v>39.221604447974585</v>
      </c>
    </row>
    <row r="449" spans="1:13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  <c r="M449" s="2">
        <f t="shared" si="6"/>
        <v>42.583385125336648</v>
      </c>
    </row>
    <row r="450" spans="1:13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  <c r="M450" s="2">
        <f t="shared" si="6"/>
        <v>34.222365038560412</v>
      </c>
    </row>
    <row r="451" spans="1:13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  <c r="M451" s="2">
        <f t="shared" ref="M451:M514" si="7">(C451/B451 )*100</f>
        <v>14.570043378412862</v>
      </c>
    </row>
    <row r="452" spans="1:13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  <c r="M452" s="2">
        <f t="shared" si="7"/>
        <v>33.827956989247312</v>
      </c>
    </row>
    <row r="453" spans="1:13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  <c r="M453" s="2">
        <f t="shared" si="7"/>
        <v>7.6745527986151183</v>
      </c>
    </row>
    <row r="454" spans="1:13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  <c r="M454" s="2">
        <f t="shared" si="7"/>
        <v>26.887871853546912</v>
      </c>
    </row>
    <row r="455" spans="1:13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  <c r="M455" s="2">
        <f t="shared" si="7"/>
        <v>26.887871853546912</v>
      </c>
    </row>
    <row r="456" spans="1:13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  <c r="M456" s="2">
        <f t="shared" si="7"/>
        <v>46.794871794871796</v>
      </c>
    </row>
    <row r="457" spans="1:13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  <c r="M457" s="2">
        <f t="shared" si="7"/>
        <v>46.794871794871796</v>
      </c>
    </row>
    <row r="458" spans="1:13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  <c r="M458" s="2">
        <f t="shared" si="7"/>
        <v>4.1973289724720635</v>
      </c>
    </row>
    <row r="459" spans="1:13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  <c r="M459" s="2">
        <f t="shared" si="7"/>
        <v>4.1973289724720635</v>
      </c>
    </row>
    <row r="460" spans="1:13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  <c r="M460" s="2">
        <f t="shared" si="7"/>
        <v>21.206225680933851</v>
      </c>
    </row>
    <row r="461" spans="1:13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  <c r="M461" s="2">
        <f t="shared" si="7"/>
        <v>21.206225680933851</v>
      </c>
    </row>
    <row r="462" spans="1:13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  <c r="M462" s="2">
        <f t="shared" si="7"/>
        <v>2.5970058050717997</v>
      </c>
    </row>
    <row r="463" spans="1:13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  <c r="M463" s="2">
        <f t="shared" si="7"/>
        <v>39.880834160873881</v>
      </c>
    </row>
    <row r="464" spans="1:13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  <c r="M464" s="2">
        <f t="shared" si="7"/>
        <v>0.7790184367696702</v>
      </c>
    </row>
    <row r="465" spans="1:13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  <c r="M465" s="2">
        <f t="shared" si="7"/>
        <v>44.981788749494136</v>
      </c>
    </row>
    <row r="466" spans="1:13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  <c r="M466" s="2">
        <f t="shared" si="7"/>
        <v>3.145219266714594</v>
      </c>
    </row>
    <row r="467" spans="1:13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  <c r="M467" s="2">
        <f t="shared" si="7"/>
        <v>3.145219266714594</v>
      </c>
    </row>
    <row r="468" spans="1:13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  <c r="M468" s="2">
        <f t="shared" si="7"/>
        <v>3.145219266714594</v>
      </c>
    </row>
    <row r="469" spans="1:13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  <c r="M469" s="2">
        <f t="shared" si="7"/>
        <v>44.927902858588418</v>
      </c>
    </row>
    <row r="470" spans="1:13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  <c r="M470" s="2">
        <f t="shared" si="7"/>
        <v>44.927902858588418</v>
      </c>
    </row>
    <row r="471" spans="1:13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  <c r="M471" s="2">
        <f t="shared" si="7"/>
        <v>44.927902858588418</v>
      </c>
    </row>
    <row r="472" spans="1:13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  <c r="M472" s="2">
        <f t="shared" si="7"/>
        <v>24.522194821208384</v>
      </c>
    </row>
    <row r="473" spans="1:13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  <c r="M473" s="2">
        <f t="shared" si="7"/>
        <v>24.522194821208384</v>
      </c>
    </row>
    <row r="474" spans="1:13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  <c r="M474" s="2">
        <f t="shared" si="7"/>
        <v>47.085030549898164</v>
      </c>
    </row>
    <row r="475" spans="1:13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  <c r="M475" s="2">
        <f t="shared" si="7"/>
        <v>4.377682403433476</v>
      </c>
    </row>
    <row r="476" spans="1:13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  <c r="M476" s="2">
        <f t="shared" si="7"/>
        <v>27.221393564883872</v>
      </c>
    </row>
    <row r="477" spans="1:13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  <c r="M477" s="2">
        <f t="shared" si="7"/>
        <v>27.221393564883872</v>
      </c>
    </row>
    <row r="478" spans="1:13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  <c r="M478" s="2">
        <f t="shared" si="7"/>
        <v>3.5894843276036399</v>
      </c>
    </row>
    <row r="479" spans="1:13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  <c r="M479" s="2">
        <f t="shared" si="7"/>
        <v>3.5894843276036399</v>
      </c>
    </row>
    <row r="480" spans="1:13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  <c r="M480" s="2">
        <f t="shared" si="7"/>
        <v>40.750503954101411</v>
      </c>
    </row>
    <row r="481" spans="1:13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  <c r="M481" s="2">
        <f t="shared" si="7"/>
        <v>40.750503954101411</v>
      </c>
    </row>
    <row r="482" spans="1:13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  <c r="M482" s="2">
        <f t="shared" si="7"/>
        <v>6.9864108713029571</v>
      </c>
    </row>
    <row r="483" spans="1:13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  <c r="M483" s="2">
        <f t="shared" si="7"/>
        <v>32.290184921763867</v>
      </c>
    </row>
    <row r="484" spans="1:13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  <c r="M484" s="2">
        <f t="shared" si="7"/>
        <v>15.521097360966154</v>
      </c>
    </row>
    <row r="485" spans="1:13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  <c r="M485" s="2">
        <f t="shared" si="7"/>
        <v>2.4105856150923621</v>
      </c>
    </row>
    <row r="486" spans="1:13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  <c r="M486" s="2">
        <f t="shared" si="7"/>
        <v>22.974358974358974</v>
      </c>
    </row>
    <row r="487" spans="1:13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  <c r="M487" s="2">
        <f t="shared" si="7"/>
        <v>32.279608192341939</v>
      </c>
    </row>
    <row r="488" spans="1:13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  <c r="M488" s="2">
        <f t="shared" si="7"/>
        <v>35.61643835616438</v>
      </c>
    </row>
    <row r="489" spans="1:13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  <c r="M489" s="2">
        <f t="shared" si="7"/>
        <v>19.873624133713818</v>
      </c>
    </row>
    <row r="490" spans="1:13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  <c r="M490" s="2">
        <f t="shared" si="7"/>
        <v>18.129079042784628</v>
      </c>
    </row>
    <row r="491" spans="1:13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  <c r="M491" s="2">
        <f t="shared" si="7"/>
        <v>8.0113100848256362</v>
      </c>
    </row>
    <row r="492" spans="1:13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  <c r="M492" s="2">
        <f t="shared" si="7"/>
        <v>39.468787007274578</v>
      </c>
    </row>
    <row r="493" spans="1:13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  <c r="M493" s="2">
        <f t="shared" si="7"/>
        <v>39.468787007274578</v>
      </c>
    </row>
    <row r="494" spans="1:13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  <c r="M494" s="2">
        <f t="shared" si="7"/>
        <v>40.594059405940598</v>
      </c>
    </row>
    <row r="495" spans="1:13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  <c r="M495" s="2">
        <f t="shared" si="7"/>
        <v>40.594059405940598</v>
      </c>
    </row>
    <row r="496" spans="1:13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  <c r="M496" s="2">
        <f t="shared" si="7"/>
        <v>45.32710280373832</v>
      </c>
    </row>
    <row r="497" spans="1:13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  <c r="M497" s="2">
        <f t="shared" si="7"/>
        <v>45.32710280373832</v>
      </c>
    </row>
    <row r="498" spans="1:13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  <c r="M498" s="2">
        <f t="shared" si="7"/>
        <v>45.32710280373832</v>
      </c>
    </row>
    <row r="499" spans="1:13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  <c r="M499" s="2">
        <f t="shared" si="7"/>
        <v>38.426966292134829</v>
      </c>
    </row>
    <row r="500" spans="1:13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  <c r="M500" s="2">
        <f t="shared" si="7"/>
        <v>38.426966292134829</v>
      </c>
    </row>
    <row r="501" spans="1:13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  <c r="M501" s="2">
        <f t="shared" si="7"/>
        <v>38.426966292134829</v>
      </c>
    </row>
    <row r="502" spans="1:13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  <c r="M502" s="2">
        <f t="shared" si="7"/>
        <v>15.072202166064983</v>
      </c>
    </row>
    <row r="503" spans="1:13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  <c r="M503" s="2">
        <f t="shared" si="7"/>
        <v>38.359247135842885</v>
      </c>
    </row>
    <row r="504" spans="1:13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  <c r="M504" s="2">
        <f t="shared" si="7"/>
        <v>13.457943925233645</v>
      </c>
    </row>
    <row r="505" spans="1:13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  <c r="M505" s="2">
        <f t="shared" si="7"/>
        <v>45.782654680063459</v>
      </c>
    </row>
    <row r="506" spans="1:13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  <c r="M506" s="2">
        <f t="shared" si="7"/>
        <v>45.782654680063459</v>
      </c>
    </row>
    <row r="507" spans="1:13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  <c r="M507" s="2">
        <f t="shared" si="7"/>
        <v>45.782654680063459</v>
      </c>
    </row>
    <row r="508" spans="1:13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  <c r="M508" s="2">
        <f t="shared" si="7"/>
        <v>45.782654680063459</v>
      </c>
    </row>
    <row r="509" spans="1:13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  <c r="M509" s="2">
        <f t="shared" si="7"/>
        <v>47.081255500146668</v>
      </c>
    </row>
    <row r="510" spans="1:13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  <c r="M510" s="2">
        <f t="shared" si="7"/>
        <v>47.081255500146668</v>
      </c>
    </row>
    <row r="511" spans="1:13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  <c r="M511" s="2">
        <f t="shared" si="7"/>
        <v>47.081255500146668</v>
      </c>
    </row>
    <row r="512" spans="1:13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  <c r="M512" s="2">
        <f t="shared" si="7"/>
        <v>47.081255500146668</v>
      </c>
    </row>
    <row r="513" spans="1:13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  <c r="M513" s="2">
        <f t="shared" si="7"/>
        <v>25.217926366526513</v>
      </c>
    </row>
    <row r="514" spans="1:13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  <c r="M514" s="2">
        <f t="shared" si="7"/>
        <v>41.597494126859829</v>
      </c>
    </row>
    <row r="515" spans="1:13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  <c r="M515" s="2">
        <f t="shared" ref="M515:M578" si="8">(C515/B515 )*100</f>
        <v>41.597494126859829</v>
      </c>
    </row>
    <row r="516" spans="1:13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  <c r="M516" s="2">
        <f t="shared" si="8"/>
        <v>21.007081038552322</v>
      </c>
    </row>
    <row r="517" spans="1:13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  <c r="M517" s="2">
        <f t="shared" si="8"/>
        <v>21.007081038552322</v>
      </c>
    </row>
    <row r="518" spans="1:13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  <c r="M518" s="2">
        <f t="shared" si="8"/>
        <v>4.3378066964890873</v>
      </c>
    </row>
    <row r="519" spans="1:13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  <c r="M519" s="2">
        <f t="shared" si="8"/>
        <v>18.062317429406036</v>
      </c>
    </row>
    <row r="520" spans="1:13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  <c r="M520" s="2">
        <f t="shared" si="8"/>
        <v>4.2550353474723224</v>
      </c>
    </row>
    <row r="521" spans="1:13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  <c r="M521" s="2">
        <f t="shared" si="8"/>
        <v>38.323586744639378</v>
      </c>
    </row>
    <row r="522" spans="1:13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  <c r="M522" s="2">
        <f t="shared" si="8"/>
        <v>30.732484076433121</v>
      </c>
    </row>
    <row r="523" spans="1:13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  <c r="M523" s="2">
        <f t="shared" si="8"/>
        <v>16.329006429697927</v>
      </c>
    </row>
    <row r="524" spans="1:13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  <c r="M524" s="2">
        <f t="shared" si="8"/>
        <v>18.005646817248461</v>
      </c>
    </row>
    <row r="525" spans="1:13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  <c r="M525" s="2">
        <f t="shared" si="8"/>
        <v>18.005646817248461</v>
      </c>
    </row>
    <row r="526" spans="1:13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  <c r="M526" s="2">
        <f t="shared" si="8"/>
        <v>18.005646817248461</v>
      </c>
    </row>
    <row r="527" spans="1:13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  <c r="M527" s="2">
        <f t="shared" si="8"/>
        <v>16.538789428815004</v>
      </c>
    </row>
    <row r="528" spans="1:13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  <c r="M528" s="2">
        <f t="shared" si="8"/>
        <v>16.538789428815004</v>
      </c>
    </row>
    <row r="529" spans="1:13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  <c r="M529" s="2">
        <f t="shared" si="8"/>
        <v>16.538789428815004</v>
      </c>
    </row>
    <row r="530" spans="1:13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  <c r="M530" s="2">
        <f t="shared" si="8"/>
        <v>14.19820310372992</v>
      </c>
    </row>
    <row r="531" spans="1:13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  <c r="M531" s="2">
        <f t="shared" si="8"/>
        <v>42.292732855680654</v>
      </c>
    </row>
    <row r="532" spans="1:13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  <c r="M532" s="2">
        <f t="shared" si="8"/>
        <v>9.5138598690625429</v>
      </c>
    </row>
    <row r="533" spans="1:13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  <c r="M533" s="2">
        <f t="shared" si="8"/>
        <v>43.842906955404658</v>
      </c>
    </row>
    <row r="534" spans="1:13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  <c r="M534" s="2">
        <f t="shared" si="8"/>
        <v>3.5924006908462869</v>
      </c>
    </row>
    <row r="535" spans="1:13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  <c r="M535" s="2">
        <f t="shared" si="8"/>
        <v>3.5924006908462869</v>
      </c>
    </row>
    <row r="536" spans="1:13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  <c r="M536" s="2">
        <f t="shared" si="8"/>
        <v>16.642754662840744</v>
      </c>
    </row>
    <row r="537" spans="1:13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  <c r="M537" s="2">
        <f t="shared" si="8"/>
        <v>16.642754662840744</v>
      </c>
    </row>
    <row r="538" spans="1:13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  <c r="M538" s="2">
        <f t="shared" si="8"/>
        <v>23.010577705451588</v>
      </c>
    </row>
    <row r="539" spans="1:13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  <c r="M539" s="2">
        <f t="shared" si="8"/>
        <v>17.571884984025559</v>
      </c>
    </row>
    <row r="540" spans="1:13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  <c r="M540" s="2">
        <f t="shared" si="8"/>
        <v>4.4174135723431496</v>
      </c>
    </row>
    <row r="541" spans="1:13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  <c r="M541" s="2">
        <f t="shared" si="8"/>
        <v>17.680992212287279</v>
      </c>
    </row>
    <row r="542" spans="1:13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  <c r="M542" s="2">
        <f t="shared" si="8"/>
        <v>17.680992212287279</v>
      </c>
    </row>
    <row r="543" spans="1:13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  <c r="M543" s="2">
        <f t="shared" si="8"/>
        <v>27.867682056163734</v>
      </c>
    </row>
    <row r="544" spans="1:13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  <c r="M544" s="2">
        <f t="shared" si="8"/>
        <v>27.867682056163734</v>
      </c>
    </row>
    <row r="545" spans="1:13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  <c r="M545" s="2">
        <f t="shared" si="8"/>
        <v>27.867682056163734</v>
      </c>
    </row>
    <row r="546" spans="1:13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  <c r="M546" s="2">
        <f t="shared" si="8"/>
        <v>27.867682056163734</v>
      </c>
    </row>
    <row r="547" spans="1:13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  <c r="M547" s="2">
        <f t="shared" si="8"/>
        <v>36.980794997766857</v>
      </c>
    </row>
    <row r="548" spans="1:13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  <c r="M548" s="2">
        <f t="shared" si="8"/>
        <v>36.980794997766857</v>
      </c>
    </row>
    <row r="549" spans="1:13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  <c r="M549" s="2">
        <f t="shared" si="8"/>
        <v>40.897959183673471</v>
      </c>
    </row>
    <row r="550" spans="1:13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  <c r="M550" s="2">
        <f t="shared" si="8"/>
        <v>40.897959183673471</v>
      </c>
    </row>
    <row r="551" spans="1:13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  <c r="M551" s="2">
        <f t="shared" si="8"/>
        <v>42.820799837183273</v>
      </c>
    </row>
    <row r="552" spans="1:13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  <c r="M552" s="2">
        <f t="shared" si="8"/>
        <v>2.9714002723783581</v>
      </c>
    </row>
    <row r="553" spans="1:13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  <c r="M553" s="2">
        <f t="shared" si="8"/>
        <v>39.693322981366457</v>
      </c>
    </row>
    <row r="554" spans="1:13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  <c r="M554" s="2">
        <f t="shared" si="8"/>
        <v>39.693322981366457</v>
      </c>
    </row>
    <row r="555" spans="1:13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  <c r="M555" s="2">
        <f t="shared" si="8"/>
        <v>39.693322981366457</v>
      </c>
    </row>
    <row r="556" spans="1:13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  <c r="M556" s="2">
        <f t="shared" si="8"/>
        <v>39.693322981366457</v>
      </c>
    </row>
    <row r="557" spans="1:13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  <c r="M557" s="2">
        <f t="shared" si="8"/>
        <v>7.4744295830055067</v>
      </c>
    </row>
    <row r="558" spans="1:13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  <c r="M558" s="2">
        <f t="shared" si="8"/>
        <v>22.216736608244876</v>
      </c>
    </row>
    <row r="559" spans="1:13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  <c r="M559" s="2">
        <f t="shared" si="8"/>
        <v>22.216736608244876</v>
      </c>
    </row>
    <row r="560" spans="1:13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  <c r="M560" s="2">
        <f t="shared" si="8"/>
        <v>22.216736608244876</v>
      </c>
    </row>
    <row r="561" spans="1:13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  <c r="M561" s="2">
        <f t="shared" si="8"/>
        <v>39.393939393939391</v>
      </c>
    </row>
    <row r="562" spans="1:13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  <c r="M562" s="2">
        <f t="shared" si="8"/>
        <v>39.393939393939391</v>
      </c>
    </row>
    <row r="563" spans="1:13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  <c r="M563" s="2">
        <f t="shared" si="8"/>
        <v>39.393939393939391</v>
      </c>
    </row>
    <row r="564" spans="1:13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  <c r="M564" s="2">
        <f t="shared" si="8"/>
        <v>37.435483870967737</v>
      </c>
    </row>
    <row r="565" spans="1:13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  <c r="M565" s="2">
        <f t="shared" si="8"/>
        <v>37.435483870967737</v>
      </c>
    </row>
    <row r="566" spans="1:13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  <c r="M566" s="2">
        <f t="shared" si="8"/>
        <v>9.2393736017897083</v>
      </c>
    </row>
    <row r="567" spans="1:13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  <c r="M567" s="2">
        <f t="shared" si="8"/>
        <v>39.519650655021834</v>
      </c>
    </row>
    <row r="568" spans="1:13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  <c r="M568" s="2">
        <f t="shared" si="8"/>
        <v>39.519650655021834</v>
      </c>
    </row>
    <row r="569" spans="1:13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  <c r="M569" s="2">
        <f t="shared" si="8"/>
        <v>25.92274678111588</v>
      </c>
    </row>
    <row r="570" spans="1:13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  <c r="M570" s="2">
        <f t="shared" si="8"/>
        <v>25.92274678111588</v>
      </c>
    </row>
    <row r="571" spans="1:13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  <c r="M571" s="2">
        <f t="shared" si="8"/>
        <v>8.6286005607953111</v>
      </c>
    </row>
    <row r="572" spans="1:13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  <c r="M572" s="2">
        <f t="shared" si="8"/>
        <v>8.6286005607953111</v>
      </c>
    </row>
    <row r="573" spans="1:13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  <c r="M573" s="2">
        <f t="shared" si="8"/>
        <v>12.706816677696889</v>
      </c>
    </row>
    <row r="574" spans="1:13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  <c r="M574" s="2">
        <f t="shared" si="8"/>
        <v>12.706816677696889</v>
      </c>
    </row>
    <row r="575" spans="1:13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  <c r="M575" s="2">
        <f t="shared" si="8"/>
        <v>21.097607292062285</v>
      </c>
    </row>
    <row r="576" spans="1:13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  <c r="M576" s="2">
        <f t="shared" si="8"/>
        <v>21.097607292062285</v>
      </c>
    </row>
    <row r="577" spans="1:13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  <c r="M577" s="2">
        <f t="shared" si="8"/>
        <v>36.348650319390067</v>
      </c>
    </row>
    <row r="578" spans="1:13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  <c r="M578" s="2">
        <f t="shared" si="8"/>
        <v>36.348650319390067</v>
      </c>
    </row>
    <row r="579" spans="1:13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  <c r="M579" s="2">
        <f t="shared" ref="M579:M642" si="9">(C579/B579 )*100</f>
        <v>12.91700569568755</v>
      </c>
    </row>
    <row r="580" spans="1:13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  <c r="M580" s="2">
        <f t="shared" si="9"/>
        <v>19.221105527638191</v>
      </c>
    </row>
    <row r="581" spans="1:13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  <c r="M581" s="2">
        <f t="shared" si="9"/>
        <v>14.382785956964891</v>
      </c>
    </row>
    <row r="582" spans="1:13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  <c r="M582" s="2">
        <f t="shared" si="9"/>
        <v>25.446133509583607</v>
      </c>
    </row>
    <row r="583" spans="1:13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  <c r="M583" s="2">
        <f t="shared" si="9"/>
        <v>23.045863961072573</v>
      </c>
    </row>
    <row r="584" spans="1:13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  <c r="M584" s="2">
        <f t="shared" si="9"/>
        <v>3.3988705291779961</v>
      </c>
    </row>
    <row r="585" spans="1:13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  <c r="M585" s="2">
        <f t="shared" si="9"/>
        <v>39.270477815699664</v>
      </c>
    </row>
    <row r="586" spans="1:13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  <c r="M586" s="2">
        <f t="shared" si="9"/>
        <v>39.270477815699664</v>
      </c>
    </row>
    <row r="587" spans="1:13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  <c r="M587" s="2">
        <f t="shared" si="9"/>
        <v>6.1012658227848098</v>
      </c>
    </row>
    <row r="588" spans="1:13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  <c r="M588" s="2">
        <f t="shared" si="9"/>
        <v>46.748959379933972</v>
      </c>
    </row>
    <row r="589" spans="1:13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  <c r="M589" s="2">
        <f t="shared" si="9"/>
        <v>25.389550870760768</v>
      </c>
    </row>
    <row r="590" spans="1:13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  <c r="M590" s="2">
        <f t="shared" si="9"/>
        <v>25.385764061722249</v>
      </c>
    </row>
    <row r="591" spans="1:13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  <c r="M591" s="2">
        <f t="shared" si="9"/>
        <v>4.4929925803792248</v>
      </c>
    </row>
    <row r="592" spans="1:13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  <c r="M592" s="2">
        <f t="shared" si="9"/>
        <v>4.4929925803792248</v>
      </c>
    </row>
    <row r="593" spans="1:13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  <c r="M593" s="2">
        <f t="shared" si="9"/>
        <v>4.4929925803792248</v>
      </c>
    </row>
    <row r="594" spans="1:13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  <c r="M594" s="2">
        <f t="shared" si="9"/>
        <v>33.681038479369498</v>
      </c>
    </row>
    <row r="595" spans="1:13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  <c r="M595" s="2">
        <f t="shared" si="9"/>
        <v>44.920924574209245</v>
      </c>
    </row>
    <row r="596" spans="1:13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  <c r="M596" s="2">
        <f t="shared" si="9"/>
        <v>44.920924574209245</v>
      </c>
    </row>
    <row r="597" spans="1:13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  <c r="M597" s="2">
        <f t="shared" si="9"/>
        <v>20.442544631631883</v>
      </c>
    </row>
    <row r="598" spans="1:13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  <c r="M598" s="2">
        <f t="shared" si="9"/>
        <v>22.024952015355087</v>
      </c>
    </row>
    <row r="599" spans="1:13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  <c r="M599" s="2">
        <f t="shared" si="9"/>
        <v>35.810215763980622</v>
      </c>
    </row>
    <row r="600" spans="1:13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  <c r="M600" s="2">
        <f t="shared" si="9"/>
        <v>16.466533244385147</v>
      </c>
    </row>
    <row r="601" spans="1:13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  <c r="M601" s="2">
        <f t="shared" si="9"/>
        <v>16.161616161616163</v>
      </c>
    </row>
    <row r="602" spans="1:13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  <c r="M602" s="2">
        <f t="shared" si="9"/>
        <v>14.962630792227205</v>
      </c>
    </row>
    <row r="603" spans="1:13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  <c r="M603" s="2">
        <f t="shared" si="9"/>
        <v>14.962630792227205</v>
      </c>
    </row>
    <row r="604" spans="1:13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  <c r="M604" s="2">
        <f t="shared" si="9"/>
        <v>38.515546639919755</v>
      </c>
    </row>
    <row r="605" spans="1:13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  <c r="M605" s="2">
        <f t="shared" si="9"/>
        <v>38.515546639919755</v>
      </c>
    </row>
    <row r="606" spans="1:13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  <c r="M606" s="2">
        <f t="shared" si="9"/>
        <v>41.501746216530847</v>
      </c>
    </row>
    <row r="607" spans="1:13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  <c r="M607" s="2">
        <f t="shared" si="9"/>
        <v>43.568048185859745</v>
      </c>
    </row>
    <row r="608" spans="1:13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  <c r="M608" s="2">
        <f t="shared" si="9"/>
        <v>42.278370725332174</v>
      </c>
    </row>
    <row r="609" spans="1:13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  <c r="M609" s="2">
        <f t="shared" si="9"/>
        <v>26.758218893050355</v>
      </c>
    </row>
    <row r="610" spans="1:13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  <c r="M610" s="2">
        <f t="shared" si="9"/>
        <v>12.25903050720569</v>
      </c>
    </row>
    <row r="611" spans="1:13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  <c r="M611" s="2">
        <f t="shared" si="9"/>
        <v>4.5715928694652099</v>
      </c>
    </row>
    <row r="612" spans="1:13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  <c r="M612" s="2">
        <f t="shared" si="9"/>
        <v>45.326045985676593</v>
      </c>
    </row>
    <row r="613" spans="1:13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  <c r="M613" s="2">
        <f t="shared" si="9"/>
        <v>4.9877532843464714</v>
      </c>
    </row>
    <row r="614" spans="1:13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  <c r="M614" s="2">
        <f t="shared" si="9"/>
        <v>11.645254869457107</v>
      </c>
    </row>
    <row r="615" spans="1:13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  <c r="M615" s="2">
        <f t="shared" si="9"/>
        <v>10.905349794238683</v>
      </c>
    </row>
    <row r="616" spans="1:13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  <c r="M616" s="2">
        <f t="shared" si="9"/>
        <v>21.882673942701228</v>
      </c>
    </row>
    <row r="617" spans="1:13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  <c r="M617" s="2">
        <f t="shared" si="9"/>
        <v>21.882673942701228</v>
      </c>
    </row>
    <row r="618" spans="1:13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  <c r="M618" s="2">
        <f t="shared" si="9"/>
        <v>21.584420880913541</v>
      </c>
    </row>
    <row r="619" spans="1:13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  <c r="M619" s="2">
        <f t="shared" si="9"/>
        <v>6.4430714916151803</v>
      </c>
    </row>
    <row r="620" spans="1:13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  <c r="M620" s="2">
        <f t="shared" si="9"/>
        <v>6.4430714916151803</v>
      </c>
    </row>
    <row r="621" spans="1:13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  <c r="M621" s="2">
        <f t="shared" si="9"/>
        <v>18.693982074263765</v>
      </c>
    </row>
    <row r="622" spans="1:13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  <c r="M622" s="2">
        <f t="shared" si="9"/>
        <v>18.693982074263765</v>
      </c>
    </row>
    <row r="623" spans="1:13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  <c r="M623" s="2">
        <f t="shared" si="9"/>
        <v>48.23508648076244</v>
      </c>
    </row>
    <row r="624" spans="1:13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  <c r="M624" s="2">
        <f t="shared" si="9"/>
        <v>34.763845600575401</v>
      </c>
    </row>
    <row r="625" spans="1:13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  <c r="M625" s="2">
        <f t="shared" si="9"/>
        <v>45.52597819114817</v>
      </c>
    </row>
    <row r="626" spans="1:13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  <c r="M626" s="2">
        <f t="shared" si="9"/>
        <v>45.52597819114817</v>
      </c>
    </row>
    <row r="627" spans="1:13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  <c r="M627" s="2">
        <f t="shared" si="9"/>
        <v>45.397412199630317</v>
      </c>
    </row>
    <row r="628" spans="1:13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  <c r="M628" s="2">
        <f t="shared" si="9"/>
        <v>45.397412199630317</v>
      </c>
    </row>
    <row r="629" spans="1:13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  <c r="M629" s="2">
        <f t="shared" si="9"/>
        <v>44.742063492063494</v>
      </c>
    </row>
    <row r="630" spans="1:13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  <c r="M630" s="2">
        <f t="shared" si="9"/>
        <v>44.742063492063494</v>
      </c>
    </row>
    <row r="631" spans="1:13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  <c r="M631" s="2">
        <f t="shared" si="9"/>
        <v>38.350820554210387</v>
      </c>
    </row>
    <row r="632" spans="1:13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  <c r="M632" s="2">
        <f t="shared" si="9"/>
        <v>7.0428393178982391</v>
      </c>
    </row>
    <row r="633" spans="1:13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  <c r="M633" s="2">
        <f t="shared" si="9"/>
        <v>7.0428393178982391</v>
      </c>
    </row>
    <row r="634" spans="1:13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  <c r="M634" s="2">
        <f t="shared" si="9"/>
        <v>18.450881612090679</v>
      </c>
    </row>
    <row r="635" spans="1:13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  <c r="M635" s="2">
        <f t="shared" si="9"/>
        <v>18.450881612090679</v>
      </c>
    </row>
    <row r="636" spans="1:13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  <c r="M636" s="2">
        <f t="shared" si="9"/>
        <v>24.278215223097114</v>
      </c>
    </row>
    <row r="637" spans="1:13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  <c r="M637" s="2">
        <f t="shared" si="9"/>
        <v>20.863482875060299</v>
      </c>
    </row>
    <row r="638" spans="1:13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  <c r="M638" s="2">
        <f t="shared" si="9"/>
        <v>23.068810967571842</v>
      </c>
    </row>
    <row r="639" spans="1:13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  <c r="M639" s="2">
        <f t="shared" si="9"/>
        <v>33.268238248012274</v>
      </c>
    </row>
    <row r="640" spans="1:13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  <c r="M640" s="2">
        <f t="shared" si="9"/>
        <v>10.306475531389028</v>
      </c>
    </row>
    <row r="641" spans="1:13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  <c r="M641" s="2">
        <f t="shared" si="9"/>
        <v>21.733909702209413</v>
      </c>
    </row>
    <row r="642" spans="1:13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  <c r="M642" s="2">
        <f t="shared" si="9"/>
        <v>40.749675264427538</v>
      </c>
    </row>
    <row r="643" spans="1:13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  <c r="M643" s="2">
        <f t="shared" ref="M643:M706" si="10">(C643/B643 )*100</f>
        <v>40.455212922173274</v>
      </c>
    </row>
    <row r="644" spans="1:13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  <c r="M644" s="2">
        <f t="shared" si="10"/>
        <v>31.227217496962332</v>
      </c>
    </row>
    <row r="645" spans="1:13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  <c r="M645" s="2">
        <f t="shared" si="10"/>
        <v>46.859903381642518</v>
      </c>
    </row>
    <row r="646" spans="1:13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  <c r="M646" s="2">
        <f t="shared" si="10"/>
        <v>38.379386336667231</v>
      </c>
    </row>
    <row r="647" spans="1:13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  <c r="M647" s="2">
        <f t="shared" si="10"/>
        <v>49.762645277459491</v>
      </c>
    </row>
    <row r="648" spans="1:13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  <c r="M648" s="2">
        <f t="shared" si="10"/>
        <v>49.762645277459491</v>
      </c>
    </row>
    <row r="649" spans="1:13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  <c r="M649" s="2">
        <f t="shared" si="10"/>
        <v>32.21694036300778</v>
      </c>
    </row>
    <row r="650" spans="1:13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  <c r="M650" s="2">
        <f t="shared" si="10"/>
        <v>32.21694036300778</v>
      </c>
    </row>
    <row r="651" spans="1:13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  <c r="M651" s="2">
        <f t="shared" si="10"/>
        <v>13.366903181506066</v>
      </c>
    </row>
    <row r="652" spans="1:13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  <c r="M652" s="2">
        <f t="shared" si="10"/>
        <v>13.366903181506066</v>
      </c>
    </row>
    <row r="653" spans="1:13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  <c r="M653" s="2">
        <f t="shared" si="10"/>
        <v>41.867897727272727</v>
      </c>
    </row>
    <row r="654" spans="1:13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  <c r="M654" s="2">
        <f t="shared" si="10"/>
        <v>41.867897727272727</v>
      </c>
    </row>
    <row r="655" spans="1:13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  <c r="M655" s="2">
        <f t="shared" si="10"/>
        <v>41.867897727272727</v>
      </c>
    </row>
    <row r="656" spans="1:13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  <c r="M656" s="2">
        <f t="shared" si="10"/>
        <v>5.3464556456975663</v>
      </c>
    </row>
    <row r="657" spans="1:13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  <c r="M657" s="2">
        <f t="shared" si="10"/>
        <v>43.094629156010228</v>
      </c>
    </row>
    <row r="658" spans="1:13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  <c r="M658" s="2">
        <f t="shared" si="10"/>
        <v>33.380884450784592</v>
      </c>
    </row>
    <row r="659" spans="1:13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  <c r="M659" s="2">
        <f t="shared" si="10"/>
        <v>33.380884450784592</v>
      </c>
    </row>
    <row r="660" spans="1:13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  <c r="M660" s="2">
        <f t="shared" si="10"/>
        <v>33.380884450784592</v>
      </c>
    </row>
    <row r="661" spans="1:13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  <c r="M661" s="2">
        <f t="shared" si="10"/>
        <v>21.75786299009048</v>
      </c>
    </row>
    <row r="662" spans="1:13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  <c r="M662" s="2">
        <f t="shared" si="10"/>
        <v>8.4118673647469464</v>
      </c>
    </row>
    <row r="663" spans="1:13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  <c r="M663" s="2">
        <f t="shared" si="10"/>
        <v>11.65165972315549</v>
      </c>
    </row>
    <row r="664" spans="1:13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  <c r="M664" s="2">
        <f t="shared" si="10"/>
        <v>11.65165972315549</v>
      </c>
    </row>
    <row r="665" spans="1:13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  <c r="M665" s="2">
        <f t="shared" si="10"/>
        <v>44.226327944572745</v>
      </c>
    </row>
    <row r="666" spans="1:13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  <c r="M666" s="2">
        <f t="shared" si="10"/>
        <v>44.879380974055536</v>
      </c>
    </row>
    <row r="667" spans="1:13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  <c r="M667" s="2">
        <f t="shared" si="10"/>
        <v>32.338902147971361</v>
      </c>
    </row>
    <row r="668" spans="1:13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  <c r="M668" s="2">
        <f t="shared" si="10"/>
        <v>32.338902147971361</v>
      </c>
    </row>
    <row r="669" spans="1:13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  <c r="M669" s="2">
        <f t="shared" si="10"/>
        <v>19.541515236231479</v>
      </c>
    </row>
    <row r="670" spans="1:13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  <c r="M670" s="2">
        <f t="shared" si="10"/>
        <v>19.541515236231479</v>
      </c>
    </row>
    <row r="671" spans="1:13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  <c r="M671" s="2">
        <f t="shared" si="10"/>
        <v>25.779275484414487</v>
      </c>
    </row>
    <row r="672" spans="1:13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  <c r="M672" s="2">
        <f t="shared" si="10"/>
        <v>25.779275484414487</v>
      </c>
    </row>
    <row r="673" spans="1:13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  <c r="M673" s="2">
        <f t="shared" si="10"/>
        <v>25.779275484414487</v>
      </c>
    </row>
    <row r="674" spans="1:13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  <c r="M674" s="2">
        <f t="shared" si="10"/>
        <v>35.430599153814654</v>
      </c>
    </row>
    <row r="675" spans="1:13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  <c r="M675" s="2">
        <f t="shared" si="10"/>
        <v>35.430599153814654</v>
      </c>
    </row>
    <row r="676" spans="1:13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  <c r="M676" s="2">
        <f t="shared" si="10"/>
        <v>35.430599153814654</v>
      </c>
    </row>
    <row r="677" spans="1:13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  <c r="M677" s="2">
        <f t="shared" si="10"/>
        <v>48.861098704778918</v>
      </c>
    </row>
    <row r="678" spans="1:13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  <c r="M678" s="2">
        <f t="shared" si="10"/>
        <v>23.377939983779399</v>
      </c>
    </row>
    <row r="679" spans="1:13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  <c r="M679" s="2">
        <f t="shared" si="10"/>
        <v>23.51920156216099</v>
      </c>
    </row>
    <row r="680" spans="1:13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  <c r="M680" s="2">
        <f t="shared" si="10"/>
        <v>33.848797250859107</v>
      </c>
    </row>
    <row r="681" spans="1:13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  <c r="M681" s="2">
        <f t="shared" si="10"/>
        <v>20.236586396282213</v>
      </c>
    </row>
    <row r="682" spans="1:13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  <c r="M682" s="2">
        <f t="shared" si="10"/>
        <v>24.855907780979827</v>
      </c>
    </row>
    <row r="683" spans="1:13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  <c r="M683" s="2">
        <f t="shared" si="10"/>
        <v>19.146697837521916</v>
      </c>
    </row>
    <row r="684" spans="1:13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  <c r="M684" s="2">
        <f t="shared" si="10"/>
        <v>8.0895390070921991</v>
      </c>
    </row>
    <row r="685" spans="1:13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  <c r="M685" s="2">
        <f t="shared" si="10"/>
        <v>16.936790923824958</v>
      </c>
    </row>
    <row r="686" spans="1:13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  <c r="M686" s="2">
        <f t="shared" si="10"/>
        <v>19.082432718796355</v>
      </c>
    </row>
    <row r="687" spans="1:13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  <c r="M687" s="2">
        <f t="shared" si="10"/>
        <v>19.082432718796355</v>
      </c>
    </row>
    <row r="688" spans="1:13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  <c r="M688" s="2">
        <f t="shared" si="10"/>
        <v>14.115456238361265</v>
      </c>
    </row>
    <row r="689" spans="1:13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  <c r="M689" s="2">
        <f t="shared" si="10"/>
        <v>14.115456238361265</v>
      </c>
    </row>
    <row r="690" spans="1:13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  <c r="M690" s="2">
        <f t="shared" si="10"/>
        <v>46.409842678499395</v>
      </c>
    </row>
    <row r="691" spans="1:13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  <c r="M691" s="2">
        <f t="shared" si="10"/>
        <v>46.409842678499395</v>
      </c>
    </row>
    <row r="692" spans="1:13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  <c r="M692" s="2">
        <f t="shared" si="10"/>
        <v>0.80853816300129366</v>
      </c>
    </row>
    <row r="693" spans="1:13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  <c r="M693" s="2">
        <f t="shared" si="10"/>
        <v>0.80853816300129366</v>
      </c>
    </row>
    <row r="694" spans="1:13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  <c r="M694" s="2">
        <f t="shared" si="10"/>
        <v>46.943711521547932</v>
      </c>
    </row>
    <row r="695" spans="1:13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  <c r="M695" s="2">
        <f t="shared" si="10"/>
        <v>46.943711521547932</v>
      </c>
    </row>
    <row r="696" spans="1:13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  <c r="M696" s="2">
        <f t="shared" si="10"/>
        <v>23.141070187630302</v>
      </c>
    </row>
    <row r="697" spans="1:13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  <c r="M697" s="2">
        <f t="shared" si="10"/>
        <v>23.141070187630302</v>
      </c>
    </row>
    <row r="698" spans="1:13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  <c r="M698" s="2">
        <f t="shared" si="10"/>
        <v>30.890897353131052</v>
      </c>
    </row>
    <row r="699" spans="1:13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  <c r="M699" s="2">
        <f t="shared" si="10"/>
        <v>22.025129342202511</v>
      </c>
    </row>
    <row r="700" spans="1:13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  <c r="M700" s="2">
        <f t="shared" si="10"/>
        <v>22.025129342202511</v>
      </c>
    </row>
    <row r="701" spans="1:13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  <c r="M701" s="2">
        <f t="shared" si="10"/>
        <v>49.105225483178238</v>
      </c>
    </row>
    <row r="702" spans="1:13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  <c r="M702" s="2">
        <f t="shared" si="10"/>
        <v>5.948916909149693</v>
      </c>
    </row>
    <row r="703" spans="1:13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  <c r="M703" s="2">
        <f t="shared" si="10"/>
        <v>5.948916909149693</v>
      </c>
    </row>
    <row r="704" spans="1:13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  <c r="M704" s="2">
        <f t="shared" si="10"/>
        <v>38.636363636363633</v>
      </c>
    </row>
    <row r="705" spans="1:13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  <c r="M705" s="2">
        <f t="shared" si="10"/>
        <v>38.636363636363633</v>
      </c>
    </row>
    <row r="706" spans="1:13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  <c r="M706" s="2">
        <f t="shared" si="10"/>
        <v>13.532382650029708</v>
      </c>
    </row>
    <row r="707" spans="1:13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  <c r="M707" s="2">
        <f t="shared" ref="M707:M770" si="11">(C707/B707 )*100</f>
        <v>31.323692992213569</v>
      </c>
    </row>
    <row r="708" spans="1:13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  <c r="M708" s="2">
        <f t="shared" si="11"/>
        <v>25.598259608411894</v>
      </c>
    </row>
    <row r="709" spans="1:13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  <c r="M709" s="2">
        <f t="shared" si="11"/>
        <v>19.31805477920626</v>
      </c>
    </row>
    <row r="710" spans="1:13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  <c r="M710" s="2">
        <f t="shared" si="11"/>
        <v>5.0162216121786871</v>
      </c>
    </row>
    <row r="711" spans="1:13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  <c r="M711" s="2">
        <f t="shared" si="11"/>
        <v>5.0162216121786871</v>
      </c>
    </row>
    <row r="712" spans="1:13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  <c r="M712" s="2">
        <f t="shared" si="11"/>
        <v>28.518518518518519</v>
      </c>
    </row>
    <row r="713" spans="1:13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  <c r="M713" s="2">
        <f t="shared" si="11"/>
        <v>21.156400040862192</v>
      </c>
    </row>
    <row r="714" spans="1:13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  <c r="M714" s="2">
        <f t="shared" si="11"/>
        <v>44.316827391916789</v>
      </c>
    </row>
    <row r="715" spans="1:13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  <c r="M715" s="2">
        <f t="shared" si="11"/>
        <v>48.740940916349338</v>
      </c>
    </row>
    <row r="716" spans="1:13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  <c r="M716" s="2">
        <f t="shared" si="11"/>
        <v>48.740940916349338</v>
      </c>
    </row>
    <row r="717" spans="1:13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  <c r="M717" s="2">
        <f t="shared" si="11"/>
        <v>23.523898781630738</v>
      </c>
    </row>
    <row r="718" spans="1:13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  <c r="M718" s="2">
        <f t="shared" si="11"/>
        <v>23.523898781630738</v>
      </c>
    </row>
    <row r="719" spans="1:13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  <c r="M719" s="2">
        <f t="shared" si="11"/>
        <v>36.858556915863502</v>
      </c>
    </row>
    <row r="720" spans="1:13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  <c r="M720" s="2">
        <f t="shared" si="11"/>
        <v>36.858556915863502</v>
      </c>
    </row>
    <row r="721" spans="1:13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  <c r="M721" s="2">
        <f t="shared" si="11"/>
        <v>16.864940517844644</v>
      </c>
    </row>
    <row r="722" spans="1:13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  <c r="M722" s="2">
        <f t="shared" si="11"/>
        <v>29.854936827328032</v>
      </c>
    </row>
    <row r="723" spans="1:13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  <c r="M723" s="2">
        <f t="shared" si="11"/>
        <v>45.531614270575773</v>
      </c>
    </row>
    <row r="724" spans="1:13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  <c r="M724" s="2">
        <f t="shared" si="11"/>
        <v>24.559161768464094</v>
      </c>
    </row>
    <row r="725" spans="1:13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  <c r="M725" s="2">
        <f t="shared" si="11"/>
        <v>24.559161768464094</v>
      </c>
    </row>
    <row r="726" spans="1:13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  <c r="M726" s="2">
        <f t="shared" si="11"/>
        <v>43.41987466427932</v>
      </c>
    </row>
    <row r="727" spans="1:13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  <c r="M727" s="2">
        <f t="shared" si="11"/>
        <v>38.125395820139332</v>
      </c>
    </row>
    <row r="728" spans="1:13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  <c r="M728" s="2">
        <f t="shared" si="11"/>
        <v>38.125395820139332</v>
      </c>
    </row>
    <row r="729" spans="1:13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  <c r="M729" s="2">
        <f t="shared" si="11"/>
        <v>38.125395820139332</v>
      </c>
    </row>
    <row r="730" spans="1:13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  <c r="M730" s="2">
        <f t="shared" si="11"/>
        <v>38.125395820139332</v>
      </c>
    </row>
    <row r="731" spans="1:13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  <c r="M731" s="2">
        <f t="shared" si="11"/>
        <v>49.175531914893618</v>
      </c>
    </row>
    <row r="732" spans="1:13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  <c r="M732" s="2">
        <f t="shared" si="11"/>
        <v>49.175531914893618</v>
      </c>
    </row>
    <row r="733" spans="1:13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  <c r="M733" s="2">
        <f t="shared" si="11"/>
        <v>49.175531914893618</v>
      </c>
    </row>
    <row r="734" spans="1:13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  <c r="M734" s="2">
        <f t="shared" si="11"/>
        <v>49.175531914893618</v>
      </c>
    </row>
    <row r="735" spans="1:13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  <c r="M735" s="2">
        <f t="shared" si="11"/>
        <v>35.596140592694695</v>
      </c>
    </row>
    <row r="736" spans="1:13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  <c r="M736" s="2">
        <f t="shared" si="11"/>
        <v>14.783347493627868</v>
      </c>
    </row>
    <row r="737" spans="1:13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  <c r="M737" s="2">
        <f t="shared" si="11"/>
        <v>38.719248361973051</v>
      </c>
    </row>
    <row r="738" spans="1:13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  <c r="M738" s="2">
        <f t="shared" si="11"/>
        <v>12.321493958257049</v>
      </c>
    </row>
    <row r="739" spans="1:13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  <c r="M739" s="2">
        <f t="shared" si="11"/>
        <v>6.9461827284105135</v>
      </c>
    </row>
    <row r="740" spans="1:13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  <c r="M740" s="2">
        <f t="shared" si="11"/>
        <v>19.802435102228351</v>
      </c>
    </row>
    <row r="741" spans="1:13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  <c r="M741" s="2">
        <f t="shared" si="11"/>
        <v>13.580246913580247</v>
      </c>
    </row>
    <row r="742" spans="1:13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  <c r="M742" s="2">
        <f t="shared" si="11"/>
        <v>47.226277372262778</v>
      </c>
    </row>
    <row r="743" spans="1:13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  <c r="M743" s="2">
        <f t="shared" si="11"/>
        <v>11.727616645649434</v>
      </c>
    </row>
    <row r="744" spans="1:13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  <c r="M744" s="2">
        <f t="shared" si="11"/>
        <v>27.775518503456691</v>
      </c>
    </row>
    <row r="745" spans="1:13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  <c r="M745" s="2">
        <f t="shared" si="11"/>
        <v>22.036262203626219</v>
      </c>
    </row>
    <row r="746" spans="1:13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  <c r="M746" s="2">
        <f t="shared" si="11"/>
        <v>22.036262203626219</v>
      </c>
    </row>
    <row r="747" spans="1:13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  <c r="M747" s="2">
        <f t="shared" si="11"/>
        <v>22.036262203626219</v>
      </c>
    </row>
    <row r="748" spans="1:13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  <c r="M748" s="2">
        <f t="shared" si="11"/>
        <v>22.036262203626219</v>
      </c>
    </row>
    <row r="749" spans="1:13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  <c r="M749" s="2">
        <f t="shared" si="11"/>
        <v>22.036262203626219</v>
      </c>
    </row>
    <row r="750" spans="1:13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  <c r="M750" s="2">
        <f t="shared" si="11"/>
        <v>22.036262203626219</v>
      </c>
    </row>
    <row r="751" spans="1:13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  <c r="M751" s="2">
        <f t="shared" si="11"/>
        <v>34.84251968503937</v>
      </c>
    </row>
    <row r="752" spans="1:13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  <c r="M752" s="2">
        <f t="shared" si="11"/>
        <v>34.84251968503937</v>
      </c>
    </row>
    <row r="753" spans="1:13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  <c r="M753" s="2">
        <f t="shared" si="11"/>
        <v>34.84251968503937</v>
      </c>
    </row>
    <row r="754" spans="1:13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  <c r="M754" s="2">
        <f t="shared" si="11"/>
        <v>34.84251968503937</v>
      </c>
    </row>
    <row r="755" spans="1:13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  <c r="M755" s="2">
        <f t="shared" si="11"/>
        <v>34.84251968503937</v>
      </c>
    </row>
    <row r="756" spans="1:13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  <c r="M756" s="2">
        <f t="shared" si="11"/>
        <v>34.84251968503937</v>
      </c>
    </row>
    <row r="757" spans="1:13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  <c r="M757" s="2">
        <f t="shared" si="11"/>
        <v>11.564698358558942</v>
      </c>
    </row>
    <row r="758" spans="1:13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  <c r="M758" s="2">
        <f t="shared" si="11"/>
        <v>11.564698358558942</v>
      </c>
    </row>
    <row r="759" spans="1:13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  <c r="M759" s="2">
        <f t="shared" si="11"/>
        <v>11.66936790923825</v>
      </c>
    </row>
    <row r="760" spans="1:13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  <c r="M760" s="2">
        <f t="shared" si="11"/>
        <v>11.66936790923825</v>
      </c>
    </row>
    <row r="761" spans="1:13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  <c r="M761" s="2">
        <f t="shared" si="11"/>
        <v>2.403304543747653</v>
      </c>
    </row>
    <row r="762" spans="1:13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  <c r="M762" s="2">
        <f t="shared" si="11"/>
        <v>2.403304543747653</v>
      </c>
    </row>
    <row r="763" spans="1:13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  <c r="M763" s="2">
        <f t="shared" si="11"/>
        <v>32.615026208503203</v>
      </c>
    </row>
    <row r="764" spans="1:13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  <c r="M764" s="2">
        <f t="shared" si="11"/>
        <v>3.7788385043754973</v>
      </c>
    </row>
    <row r="765" spans="1:13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  <c r="M765" s="2">
        <f t="shared" si="11"/>
        <v>48.556045031815955</v>
      </c>
    </row>
    <row r="766" spans="1:13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  <c r="M766" s="2">
        <f t="shared" si="11"/>
        <v>37.838452787258248</v>
      </c>
    </row>
    <row r="767" spans="1:13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  <c r="M767" s="2">
        <f t="shared" si="11"/>
        <v>48.989430743556461</v>
      </c>
    </row>
    <row r="768" spans="1:13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  <c r="M768" s="2">
        <f t="shared" si="11"/>
        <v>22.32456140350877</v>
      </c>
    </row>
    <row r="769" spans="1:13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  <c r="M769" s="2">
        <f t="shared" si="11"/>
        <v>21.816252274105519</v>
      </c>
    </row>
    <row r="770" spans="1:13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  <c r="M770" s="2">
        <f t="shared" si="11"/>
        <v>42.03991130820399</v>
      </c>
    </row>
    <row r="771" spans="1:13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  <c r="M771" s="2">
        <f t="shared" ref="M771:M834" si="12">(C771/B771 )*100</f>
        <v>39.131150238604576</v>
      </c>
    </row>
    <row r="772" spans="1:13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  <c r="M772" s="2">
        <f t="shared" si="12"/>
        <v>46.662948503439303</v>
      </c>
    </row>
    <row r="773" spans="1:13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  <c r="M773" s="2">
        <f t="shared" si="12"/>
        <v>35.86087707928278</v>
      </c>
    </row>
    <row r="774" spans="1:13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  <c r="M774" s="2">
        <f t="shared" si="12"/>
        <v>20.479704797047972</v>
      </c>
    </row>
    <row r="775" spans="1:13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  <c r="M775" s="2">
        <f t="shared" si="12"/>
        <v>31.575682382133998</v>
      </c>
    </row>
    <row r="776" spans="1:13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  <c r="M776" s="2">
        <f t="shared" si="12"/>
        <v>11.638895797065407</v>
      </c>
    </row>
    <row r="777" spans="1:13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  <c r="M777" s="2">
        <f t="shared" si="12"/>
        <v>11.638895797065407</v>
      </c>
    </row>
    <row r="778" spans="1:13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  <c r="M778" s="2">
        <f t="shared" si="12"/>
        <v>3.8160222390700027</v>
      </c>
    </row>
    <row r="779" spans="1:13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  <c r="M779" s="2">
        <f t="shared" si="12"/>
        <v>36.241304595734974</v>
      </c>
    </row>
    <row r="780" spans="1:13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  <c r="M780" s="2">
        <f t="shared" si="12"/>
        <v>31.011159959418329</v>
      </c>
    </row>
    <row r="781" spans="1:13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  <c r="M781" s="2">
        <f t="shared" si="12"/>
        <v>48.783682634730539</v>
      </c>
    </row>
    <row r="782" spans="1:13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  <c r="M782" s="2">
        <f t="shared" si="12"/>
        <v>48.783682634730539</v>
      </c>
    </row>
    <row r="783" spans="1:13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  <c r="M783" s="2">
        <f t="shared" si="12"/>
        <v>34.994225375350602</v>
      </c>
    </row>
    <row r="784" spans="1:13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  <c r="M784" s="2">
        <f t="shared" si="12"/>
        <v>34.994225375350602</v>
      </c>
    </row>
    <row r="785" spans="1:13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  <c r="M785" s="2">
        <f t="shared" si="12"/>
        <v>35.863095238095241</v>
      </c>
    </row>
    <row r="786" spans="1:13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  <c r="M786" s="2">
        <f t="shared" si="12"/>
        <v>36.103151862464181</v>
      </c>
    </row>
    <row r="787" spans="1:13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  <c r="M787" s="2">
        <f t="shared" si="12"/>
        <v>8.4578804347826075</v>
      </c>
    </row>
    <row r="788" spans="1:13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  <c r="M788" s="2">
        <f t="shared" si="12"/>
        <v>8.4578804347826075</v>
      </c>
    </row>
    <row r="789" spans="1:13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  <c r="M789" s="2">
        <f t="shared" si="12"/>
        <v>22.393364928909953</v>
      </c>
    </row>
    <row r="790" spans="1:13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  <c r="M790" s="2">
        <f t="shared" si="12"/>
        <v>22.393364928909953</v>
      </c>
    </row>
    <row r="791" spans="1:13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  <c r="M791" s="2">
        <f t="shared" si="12"/>
        <v>19.985925404644618</v>
      </c>
    </row>
    <row r="792" spans="1:13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  <c r="M792" s="2">
        <f t="shared" si="12"/>
        <v>17.400827451934777</v>
      </c>
    </row>
    <row r="793" spans="1:13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  <c r="M793" s="2">
        <f t="shared" si="12"/>
        <v>44.240400667779632</v>
      </c>
    </row>
    <row r="794" spans="1:13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  <c r="M794" s="2">
        <f t="shared" si="12"/>
        <v>44.240400667779632</v>
      </c>
    </row>
    <row r="795" spans="1:13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  <c r="M795" s="2">
        <f t="shared" si="12"/>
        <v>19.911991199119914</v>
      </c>
    </row>
    <row r="796" spans="1:13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  <c r="M796" s="2">
        <f t="shared" si="12"/>
        <v>19.911991199119914</v>
      </c>
    </row>
    <row r="797" spans="1:13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  <c r="M797" s="2">
        <f t="shared" si="12"/>
        <v>23.368095789880265</v>
      </c>
    </row>
    <row r="798" spans="1:13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  <c r="M798" s="2">
        <f t="shared" si="12"/>
        <v>23.368095789880265</v>
      </c>
    </row>
    <row r="799" spans="1:13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  <c r="M799" s="2">
        <f t="shared" si="12"/>
        <v>29.131355932203391</v>
      </c>
    </row>
    <row r="800" spans="1:13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  <c r="M800" s="2">
        <f t="shared" si="12"/>
        <v>29.131355932203391</v>
      </c>
    </row>
    <row r="801" spans="1:13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  <c r="M801" s="2">
        <f t="shared" si="12"/>
        <v>30.840429470566455</v>
      </c>
    </row>
    <row r="802" spans="1:13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  <c r="M802" s="2">
        <f t="shared" si="12"/>
        <v>17.134559535333977</v>
      </c>
    </row>
    <row r="803" spans="1:13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  <c r="M803" s="2">
        <f t="shared" si="12"/>
        <v>49.228871067242444</v>
      </c>
    </row>
    <row r="804" spans="1:13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  <c r="M804" s="2">
        <f t="shared" si="12"/>
        <v>15.867158671586715</v>
      </c>
    </row>
    <row r="805" spans="1:13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  <c r="M805" s="2">
        <f t="shared" si="12"/>
        <v>44.763303581516212</v>
      </c>
    </row>
    <row r="806" spans="1:13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  <c r="M806" s="2">
        <f t="shared" si="12"/>
        <v>34.039256198347104</v>
      </c>
    </row>
    <row r="807" spans="1:13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  <c r="M807" s="2">
        <f t="shared" si="12"/>
        <v>43.292394898441188</v>
      </c>
    </row>
    <row r="808" spans="1:13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  <c r="M808" s="2">
        <f t="shared" si="12"/>
        <v>7.0704796217068226</v>
      </c>
    </row>
    <row r="809" spans="1:13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  <c r="M809" s="2">
        <f t="shared" si="12"/>
        <v>40.365448504983384</v>
      </c>
    </row>
    <row r="810" spans="1:13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  <c r="M810" s="2">
        <f t="shared" si="12"/>
        <v>6.3496932515337416</v>
      </c>
    </row>
    <row r="811" spans="1:13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  <c r="M811" s="2">
        <f t="shared" si="12"/>
        <v>26.662073716844642</v>
      </c>
    </row>
    <row r="812" spans="1:13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  <c r="M812" s="2">
        <f t="shared" si="12"/>
        <v>26.662073716844642</v>
      </c>
    </row>
    <row r="813" spans="1:13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  <c r="M813" s="2">
        <f t="shared" si="12"/>
        <v>3.5619047619047621</v>
      </c>
    </row>
    <row r="814" spans="1:13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  <c r="M814" s="2">
        <f t="shared" si="12"/>
        <v>3.5619047619047621</v>
      </c>
    </row>
    <row r="815" spans="1:13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  <c r="M815" s="2">
        <f t="shared" si="12"/>
        <v>22.376093294460642</v>
      </c>
    </row>
    <row r="816" spans="1:13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  <c r="M816" s="2">
        <f t="shared" si="12"/>
        <v>22.376093294460642</v>
      </c>
    </row>
    <row r="817" spans="1:13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  <c r="M817" s="2">
        <f t="shared" si="12"/>
        <v>37.691614066726778</v>
      </c>
    </row>
    <row r="818" spans="1:13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  <c r="M818" s="2">
        <f t="shared" si="12"/>
        <v>15.729079205149734</v>
      </c>
    </row>
    <row r="819" spans="1:13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  <c r="M819" s="2">
        <f t="shared" si="12"/>
        <v>15.729079205149734</v>
      </c>
    </row>
    <row r="820" spans="1:13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  <c r="M820" s="2">
        <f t="shared" si="12"/>
        <v>15.729079205149734</v>
      </c>
    </row>
    <row r="821" spans="1:13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  <c r="M821" s="2">
        <f t="shared" si="12"/>
        <v>8.2060831781502177</v>
      </c>
    </row>
    <row r="822" spans="1:13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  <c r="M822" s="2">
        <f t="shared" si="12"/>
        <v>8.2060831781502177</v>
      </c>
    </row>
    <row r="823" spans="1:13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  <c r="M823" s="2">
        <f t="shared" si="12"/>
        <v>8.2060831781502177</v>
      </c>
    </row>
    <row r="824" spans="1:13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  <c r="M824" s="2">
        <f t="shared" si="12"/>
        <v>38.204715185239415</v>
      </c>
    </row>
    <row r="825" spans="1:13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  <c r="M825" s="2">
        <f t="shared" si="12"/>
        <v>48.341158059467922</v>
      </c>
    </row>
    <row r="826" spans="1:13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  <c r="M826" s="2">
        <f t="shared" si="12"/>
        <v>26.993654604699024</v>
      </c>
    </row>
    <row r="827" spans="1:13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  <c r="M827" s="2">
        <f t="shared" si="12"/>
        <v>26.993654604699024</v>
      </c>
    </row>
    <row r="828" spans="1:13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  <c r="M828" s="2">
        <f t="shared" si="12"/>
        <v>26.993654604699024</v>
      </c>
    </row>
    <row r="829" spans="1:13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  <c r="M829" s="2">
        <f t="shared" si="12"/>
        <v>48.604124748490946</v>
      </c>
    </row>
    <row r="830" spans="1:13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  <c r="M830" s="2">
        <f t="shared" si="12"/>
        <v>10.358021317299809</v>
      </c>
    </row>
    <row r="831" spans="1:13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  <c r="M831" s="2">
        <f t="shared" si="12"/>
        <v>27.707387042792252</v>
      </c>
    </row>
    <row r="832" spans="1:13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  <c r="M832" s="2">
        <f t="shared" si="12"/>
        <v>18.467504680395827</v>
      </c>
    </row>
    <row r="833" spans="1:13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  <c r="M833" s="2">
        <f t="shared" si="12"/>
        <v>33.903133903133906</v>
      </c>
    </row>
    <row r="834" spans="1:13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  <c r="M834" s="2">
        <f t="shared" si="12"/>
        <v>37.007678969531831</v>
      </c>
    </row>
    <row r="835" spans="1:13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  <c r="M835" s="2">
        <f t="shared" ref="M835:M898" si="13">(C835/B835 )*100</f>
        <v>46.50977263661747</v>
      </c>
    </row>
    <row r="836" spans="1:13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  <c r="M836" s="2">
        <f t="shared" si="13"/>
        <v>49.903836420690354</v>
      </c>
    </row>
    <row r="837" spans="1:13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  <c r="M837" s="2">
        <f t="shared" si="13"/>
        <v>39.968043825610586</v>
      </c>
    </row>
    <row r="838" spans="1:13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  <c r="M838" s="2">
        <f t="shared" si="13"/>
        <v>9.422850412249705</v>
      </c>
    </row>
    <row r="839" spans="1:13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  <c r="M839" s="2">
        <f t="shared" si="13"/>
        <v>2.3593727521219967</v>
      </c>
    </row>
    <row r="840" spans="1:13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  <c r="M840" s="2">
        <f t="shared" si="13"/>
        <v>28.664192949907235</v>
      </c>
    </row>
    <row r="841" spans="1:13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  <c r="M841" s="2">
        <f t="shared" si="13"/>
        <v>28.664192949907235</v>
      </c>
    </row>
    <row r="842" spans="1:13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  <c r="M842" s="2">
        <f t="shared" si="13"/>
        <v>25.303738317757009</v>
      </c>
    </row>
    <row r="843" spans="1:13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  <c r="M843" s="2">
        <f t="shared" si="13"/>
        <v>30.843840931134821</v>
      </c>
    </row>
    <row r="844" spans="1:13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  <c r="M844" s="2">
        <f t="shared" si="13"/>
        <v>43.267728834739145</v>
      </c>
    </row>
    <row r="845" spans="1:13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  <c r="M845" s="2">
        <f t="shared" si="13"/>
        <v>43.267728834739145</v>
      </c>
    </row>
    <row r="846" spans="1:13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  <c r="M846" s="2">
        <f t="shared" si="13"/>
        <v>26.943881000676136</v>
      </c>
    </row>
    <row r="847" spans="1:13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  <c r="M847" s="2">
        <f t="shared" si="13"/>
        <v>26.943881000676136</v>
      </c>
    </row>
    <row r="848" spans="1:13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  <c r="M848" s="2">
        <f t="shared" si="13"/>
        <v>43.611457036114572</v>
      </c>
    </row>
    <row r="849" spans="1:13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  <c r="M849" s="2">
        <f t="shared" si="13"/>
        <v>43.611457036114572</v>
      </c>
    </row>
    <row r="850" spans="1:13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  <c r="M850" s="2">
        <f t="shared" si="13"/>
        <v>5.9667916443492235</v>
      </c>
    </row>
    <row r="851" spans="1:13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  <c r="M851" s="2">
        <f t="shared" si="13"/>
        <v>12.622184445388864</v>
      </c>
    </row>
    <row r="852" spans="1:13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  <c r="M852" s="2">
        <f t="shared" si="13"/>
        <v>12.622184445388864</v>
      </c>
    </row>
    <row r="853" spans="1:13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  <c r="M853" s="2">
        <f t="shared" si="13"/>
        <v>5.6348724179829892</v>
      </c>
    </row>
    <row r="854" spans="1:13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  <c r="M854" s="2">
        <f t="shared" si="13"/>
        <v>5.6348724179829892</v>
      </c>
    </row>
    <row r="855" spans="1:13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  <c r="M855" s="2">
        <f t="shared" si="13"/>
        <v>11.488495852246047</v>
      </c>
    </row>
    <row r="856" spans="1:13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  <c r="M856" s="2">
        <f t="shared" si="13"/>
        <v>43.560644442192725</v>
      </c>
    </row>
    <row r="857" spans="1:13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  <c r="M857" s="2">
        <f t="shared" si="13"/>
        <v>43.560644442192725</v>
      </c>
    </row>
    <row r="858" spans="1:13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  <c r="M858" s="2">
        <f t="shared" si="13"/>
        <v>45.343511450381676</v>
      </c>
    </row>
    <row r="859" spans="1:13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  <c r="M859" s="2">
        <f t="shared" si="13"/>
        <v>45.343511450381676</v>
      </c>
    </row>
    <row r="860" spans="1:13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  <c r="M860" s="2">
        <f t="shared" si="13"/>
        <v>38.596491228070171</v>
      </c>
    </row>
    <row r="861" spans="1:13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  <c r="M861" s="2">
        <f t="shared" si="13"/>
        <v>38.596491228070171</v>
      </c>
    </row>
    <row r="862" spans="1:13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  <c r="M862" s="2">
        <f t="shared" si="13"/>
        <v>31.429647295092256</v>
      </c>
    </row>
    <row r="863" spans="1:13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  <c r="M863" s="2">
        <f t="shared" si="13"/>
        <v>31.429647295092256</v>
      </c>
    </row>
    <row r="864" spans="1:13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  <c r="M864" s="2">
        <f t="shared" si="13"/>
        <v>35.090521831735884</v>
      </c>
    </row>
    <row r="865" spans="1:13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  <c r="M865" s="2">
        <f t="shared" si="13"/>
        <v>47.671285604311009</v>
      </c>
    </row>
    <row r="866" spans="1:13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  <c r="M866" s="2">
        <f t="shared" si="13"/>
        <v>27.239599149711509</v>
      </c>
    </row>
    <row r="867" spans="1:13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  <c r="M867" s="2">
        <f t="shared" si="13"/>
        <v>14.236475348419003</v>
      </c>
    </row>
    <row r="868" spans="1:13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  <c r="M868" s="2">
        <f t="shared" si="13"/>
        <v>32.49299719887955</v>
      </c>
    </row>
    <row r="869" spans="1:13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  <c r="M869" s="2">
        <f t="shared" si="13"/>
        <v>32.49299719887955</v>
      </c>
    </row>
    <row r="870" spans="1:13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  <c r="M870" s="2">
        <f t="shared" si="13"/>
        <v>46.260387811634352</v>
      </c>
    </row>
    <row r="871" spans="1:13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  <c r="M871" s="2">
        <f t="shared" si="13"/>
        <v>48.438150770512287</v>
      </c>
    </row>
    <row r="872" spans="1:13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  <c r="M872" s="2">
        <f t="shared" si="13"/>
        <v>48.438150770512287</v>
      </c>
    </row>
    <row r="873" spans="1:13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  <c r="M873" s="2">
        <f t="shared" si="13"/>
        <v>48.438150770512287</v>
      </c>
    </row>
    <row r="874" spans="1:13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  <c r="M874" s="2">
        <f t="shared" si="13"/>
        <v>25.550239234449762</v>
      </c>
    </row>
    <row r="875" spans="1:13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  <c r="M875" s="2">
        <f t="shared" si="13"/>
        <v>25.550239234449762</v>
      </c>
    </row>
    <row r="876" spans="1:13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  <c r="M876" s="2">
        <f t="shared" si="13"/>
        <v>25.550239234449762</v>
      </c>
    </row>
    <row r="877" spans="1:13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  <c r="M877" s="2">
        <f t="shared" si="13"/>
        <v>14.437612093261592</v>
      </c>
    </row>
    <row r="878" spans="1:13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  <c r="M878" s="2">
        <f t="shared" si="13"/>
        <v>33.117993539806193</v>
      </c>
    </row>
    <row r="879" spans="1:13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  <c r="M879" s="2">
        <f t="shared" si="13"/>
        <v>41.093216203025868</v>
      </c>
    </row>
    <row r="880" spans="1:13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  <c r="M880" s="2">
        <f t="shared" si="13"/>
        <v>38.361838588989841</v>
      </c>
    </row>
    <row r="881" spans="1:13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  <c r="M881" s="2">
        <f t="shared" si="13"/>
        <v>38.361838588989841</v>
      </c>
    </row>
    <row r="882" spans="1:13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  <c r="M882" s="2">
        <f t="shared" si="13"/>
        <v>35.220779220779221</v>
      </c>
    </row>
    <row r="883" spans="1:13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  <c r="M883" s="2">
        <f t="shared" si="13"/>
        <v>35.220779220779221</v>
      </c>
    </row>
    <row r="884" spans="1:13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  <c r="M884" s="2">
        <f t="shared" si="13"/>
        <v>42.005388309710675</v>
      </c>
    </row>
    <row r="885" spans="1:13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  <c r="M885" s="2">
        <f t="shared" si="13"/>
        <v>38.315646872883271</v>
      </c>
    </row>
    <row r="886" spans="1:13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  <c r="M886" s="2">
        <f t="shared" si="13"/>
        <v>38.339920948616601</v>
      </c>
    </row>
    <row r="887" spans="1:13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  <c r="M887" s="2">
        <f t="shared" si="13"/>
        <v>38.339920948616601</v>
      </c>
    </row>
    <row r="888" spans="1:13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  <c r="M888" s="2">
        <f t="shared" si="13"/>
        <v>14.355379457482476</v>
      </c>
    </row>
    <row r="889" spans="1:13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  <c r="M889" s="2">
        <f t="shared" si="13"/>
        <v>14.355379457482476</v>
      </c>
    </row>
    <row r="890" spans="1:13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  <c r="M890" s="2">
        <f t="shared" si="13"/>
        <v>28.314710286833318</v>
      </c>
    </row>
    <row r="891" spans="1:13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  <c r="M891" s="2">
        <f t="shared" si="13"/>
        <v>25.117029862792574</v>
      </c>
    </row>
    <row r="892" spans="1:13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  <c r="M892" s="2">
        <f t="shared" si="13"/>
        <v>12.406499871034304</v>
      </c>
    </row>
    <row r="893" spans="1:13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  <c r="M893" s="2">
        <f t="shared" si="13"/>
        <v>12.406499871034304</v>
      </c>
    </row>
    <row r="894" spans="1:13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  <c r="M894" s="2">
        <f t="shared" si="13"/>
        <v>35.190521934037783</v>
      </c>
    </row>
    <row r="895" spans="1:13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  <c r="M895" s="2">
        <f t="shared" si="13"/>
        <v>35.190521934037783</v>
      </c>
    </row>
    <row r="896" spans="1:13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  <c r="M896" s="2">
        <f t="shared" si="13"/>
        <v>46.866359447004605</v>
      </c>
    </row>
    <row r="897" spans="1:13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  <c r="M897" s="2">
        <f t="shared" si="13"/>
        <v>46.866359447004605</v>
      </c>
    </row>
    <row r="898" spans="1:13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  <c r="M898" s="2">
        <f t="shared" si="13"/>
        <v>48.09259863058363</v>
      </c>
    </row>
    <row r="899" spans="1:13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  <c r="M899" s="2">
        <f t="shared" ref="M899:M962" si="14">(C899/B899 )*100</f>
        <v>48.09259863058363</v>
      </c>
    </row>
    <row r="900" spans="1:13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  <c r="M900" s="2">
        <f t="shared" si="14"/>
        <v>46.622972672739394</v>
      </c>
    </row>
    <row r="901" spans="1:13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  <c r="M901" s="2">
        <f t="shared" si="14"/>
        <v>46.622972672739394</v>
      </c>
    </row>
    <row r="902" spans="1:13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  <c r="M902" s="2">
        <f t="shared" si="14"/>
        <v>39.155524278676992</v>
      </c>
    </row>
    <row r="903" spans="1:13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  <c r="M903" s="2">
        <f t="shared" si="14"/>
        <v>25.296219672747789</v>
      </c>
    </row>
    <row r="904" spans="1:13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  <c r="M904" s="2">
        <f t="shared" si="14"/>
        <v>25.296219672747789</v>
      </c>
    </row>
    <row r="905" spans="1:13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  <c r="M905" s="2">
        <f t="shared" si="14"/>
        <v>25.296219672747789</v>
      </c>
    </row>
    <row r="906" spans="1:13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  <c r="M906" s="2">
        <f t="shared" si="14"/>
        <v>12.151015228426395</v>
      </c>
    </row>
    <row r="907" spans="1:13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  <c r="M907" s="2">
        <f t="shared" si="14"/>
        <v>12.151015228426395</v>
      </c>
    </row>
    <row r="908" spans="1:13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  <c r="M908" s="2">
        <f t="shared" si="14"/>
        <v>12.151015228426395</v>
      </c>
    </row>
    <row r="909" spans="1:13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  <c r="M909" s="2">
        <f t="shared" si="14"/>
        <v>17.679038159958179</v>
      </c>
    </row>
    <row r="910" spans="1:13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  <c r="M910" s="2">
        <f t="shared" si="14"/>
        <v>3.9296543359611884</v>
      </c>
    </row>
    <row r="911" spans="1:13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  <c r="M911" s="2">
        <f t="shared" si="14"/>
        <v>30.150753768844218</v>
      </c>
    </row>
    <row r="912" spans="1:13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  <c r="M912" s="2">
        <f t="shared" si="14"/>
        <v>3.1785714285714284</v>
      </c>
    </row>
    <row r="913" spans="1:13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  <c r="M913" s="2">
        <f t="shared" si="14"/>
        <v>25.26697561958493</v>
      </c>
    </row>
    <row r="914" spans="1:13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  <c r="M914" s="2">
        <f t="shared" si="14"/>
        <v>8.5355987055016183</v>
      </c>
    </row>
    <row r="915" spans="1:13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  <c r="M915" s="2">
        <f t="shared" si="14"/>
        <v>33.902759526938233</v>
      </c>
    </row>
    <row r="916" spans="1:13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  <c r="M916" s="2">
        <f t="shared" si="14"/>
        <v>18.988561107766404</v>
      </c>
    </row>
    <row r="917" spans="1:13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  <c r="M917" s="2">
        <f t="shared" si="14"/>
        <v>5.7425742574257432</v>
      </c>
    </row>
    <row r="918" spans="1:13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  <c r="M918" s="2">
        <f t="shared" si="14"/>
        <v>37.984154929577464</v>
      </c>
    </row>
    <row r="919" spans="1:13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  <c r="M919" s="2">
        <f t="shared" si="14"/>
        <v>29.457627118644069</v>
      </c>
    </row>
    <row r="920" spans="1:13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  <c r="M920" s="2">
        <f t="shared" si="14"/>
        <v>38.15596433811082</v>
      </c>
    </row>
    <row r="921" spans="1:13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  <c r="M921" s="2">
        <f t="shared" si="14"/>
        <v>25.153223829369942</v>
      </c>
    </row>
    <row r="922" spans="1:13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  <c r="M922" s="2">
        <f t="shared" si="14"/>
        <v>49.95602462620932</v>
      </c>
    </row>
    <row r="923" spans="1:13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  <c r="M923" s="2">
        <f t="shared" si="14"/>
        <v>12.088028917712098</v>
      </c>
    </row>
    <row r="924" spans="1:13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  <c r="M924" s="2">
        <f t="shared" si="14"/>
        <v>6.4013840830449826</v>
      </c>
    </row>
    <row r="925" spans="1:13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  <c r="M925" s="2">
        <f t="shared" si="14"/>
        <v>13.877474785207323</v>
      </c>
    </row>
    <row r="926" spans="1:13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  <c r="M926" s="2">
        <f t="shared" si="14"/>
        <v>39.066059225512525</v>
      </c>
    </row>
    <row r="927" spans="1:13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  <c r="M927" s="2">
        <f t="shared" si="14"/>
        <v>39.066059225512525</v>
      </c>
    </row>
    <row r="928" spans="1:13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  <c r="M928" s="2">
        <f t="shared" si="14"/>
        <v>48.739495798319325</v>
      </c>
    </row>
    <row r="929" spans="1:13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  <c r="M929" s="2">
        <f t="shared" si="14"/>
        <v>16.029246344206975</v>
      </c>
    </row>
    <row r="930" spans="1:13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  <c r="M930" s="2">
        <f t="shared" si="14"/>
        <v>20.736248537078414</v>
      </c>
    </row>
    <row r="931" spans="1:13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  <c r="M931" s="2">
        <f t="shared" si="14"/>
        <v>12.127686313937414</v>
      </c>
    </row>
    <row r="932" spans="1:13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  <c r="M932" s="2">
        <f t="shared" si="14"/>
        <v>40.354090354090353</v>
      </c>
    </row>
    <row r="933" spans="1:13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  <c r="M933" s="2">
        <f t="shared" si="14"/>
        <v>12.541993281075028</v>
      </c>
    </row>
    <row r="934" spans="1:13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  <c r="M934" s="2">
        <f t="shared" si="14"/>
        <v>16.438644495895602</v>
      </c>
    </row>
    <row r="935" spans="1:13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  <c r="M935" s="2">
        <f t="shared" si="14"/>
        <v>49.86078627909567</v>
      </c>
    </row>
    <row r="936" spans="1:13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  <c r="M936" s="2">
        <f t="shared" si="14"/>
        <v>24.312431243124312</v>
      </c>
    </row>
    <row r="937" spans="1:13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  <c r="M937" s="2">
        <f t="shared" si="14"/>
        <v>36.322049405306494</v>
      </c>
    </row>
    <row r="938" spans="1:13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  <c r="M938" s="2">
        <f t="shared" si="14"/>
        <v>36.322049405306494</v>
      </c>
    </row>
    <row r="939" spans="1:13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  <c r="M939" s="2">
        <f t="shared" si="14"/>
        <v>36.322049405306494</v>
      </c>
    </row>
    <row r="940" spans="1:13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  <c r="M940" s="2">
        <f t="shared" si="14"/>
        <v>3.3383915022761759</v>
      </c>
    </row>
    <row r="941" spans="1:13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  <c r="M941" s="2">
        <f t="shared" si="14"/>
        <v>3.3383915022761759</v>
      </c>
    </row>
    <row r="942" spans="1:13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  <c r="M942" s="2">
        <f t="shared" si="14"/>
        <v>3.3383915022761759</v>
      </c>
    </row>
    <row r="943" spans="1:13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  <c r="M943" s="2">
        <f t="shared" si="14"/>
        <v>30.65087145969499</v>
      </c>
    </row>
    <row r="944" spans="1:13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  <c r="M944" s="2">
        <f t="shared" si="14"/>
        <v>21.17437722419929</v>
      </c>
    </row>
    <row r="945" spans="1:13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  <c r="M945" s="2">
        <f t="shared" si="14"/>
        <v>44.375857338820303</v>
      </c>
    </row>
    <row r="946" spans="1:13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  <c r="M946" s="2">
        <f t="shared" si="14"/>
        <v>23.810079328044797</v>
      </c>
    </row>
    <row r="947" spans="1:13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  <c r="M947" s="2">
        <f t="shared" si="14"/>
        <v>23.810079328044797</v>
      </c>
    </row>
    <row r="948" spans="1:13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  <c r="M948" s="2">
        <f t="shared" si="14"/>
        <v>23.810079328044797</v>
      </c>
    </row>
    <row r="949" spans="1:13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  <c r="M949" s="2">
        <f t="shared" si="14"/>
        <v>22.757165901476608</v>
      </c>
    </row>
    <row r="950" spans="1:13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  <c r="M950" s="2">
        <f t="shared" si="14"/>
        <v>22.757165901476608</v>
      </c>
    </row>
    <row r="951" spans="1:13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  <c r="M951" s="2">
        <f t="shared" si="14"/>
        <v>22.757165901476608</v>
      </c>
    </row>
    <row r="952" spans="1:13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  <c r="M952" s="2">
        <f t="shared" si="14"/>
        <v>11.90931439497405</v>
      </c>
    </row>
    <row r="953" spans="1:13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  <c r="M953" s="2">
        <f t="shared" si="14"/>
        <v>13.953488372093023</v>
      </c>
    </row>
    <row r="954" spans="1:13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  <c r="M954" s="2">
        <f t="shared" si="14"/>
        <v>13.953488372093023</v>
      </c>
    </row>
    <row r="955" spans="1:13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  <c r="M955" s="2">
        <f t="shared" si="14"/>
        <v>13.953488372093023</v>
      </c>
    </row>
    <row r="956" spans="1:13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  <c r="M956" s="2">
        <f t="shared" si="14"/>
        <v>27.493986132729585</v>
      </c>
    </row>
    <row r="957" spans="1:13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  <c r="M957" s="2">
        <f t="shared" si="14"/>
        <v>14.279080566519619</v>
      </c>
    </row>
    <row r="958" spans="1:13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  <c r="M958" s="2">
        <f t="shared" si="14"/>
        <v>14.279080566519619</v>
      </c>
    </row>
    <row r="959" spans="1:13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  <c r="M959" s="2">
        <f t="shared" si="14"/>
        <v>19.915700737618547</v>
      </c>
    </row>
    <row r="960" spans="1:13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  <c r="M960" s="2">
        <f t="shared" si="14"/>
        <v>19.915700737618547</v>
      </c>
    </row>
    <row r="961" spans="1:13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  <c r="M961" s="2">
        <f t="shared" si="14"/>
        <v>30.97713097713098</v>
      </c>
    </row>
    <row r="962" spans="1:13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  <c r="M962" s="2">
        <f t="shared" si="14"/>
        <v>7.345575959933222</v>
      </c>
    </row>
    <row r="963" spans="1:13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  <c r="M963" s="2">
        <f t="shared" ref="M963:M1026" si="15">(C963/B963 )*100</f>
        <v>44.650708353688323</v>
      </c>
    </row>
    <row r="964" spans="1:13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  <c r="M964" s="2">
        <f t="shared" si="15"/>
        <v>29.451395572666023</v>
      </c>
    </row>
    <row r="965" spans="1:13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  <c r="M965" s="2">
        <f t="shared" si="15"/>
        <v>45.78005115089514</v>
      </c>
    </row>
    <row r="966" spans="1:13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  <c r="M966" s="2">
        <f t="shared" si="15"/>
        <v>35.159873077861853</v>
      </c>
    </row>
    <row r="967" spans="1:13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  <c r="M967" s="2">
        <f t="shared" si="15"/>
        <v>38.914666128706884</v>
      </c>
    </row>
    <row r="968" spans="1:13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  <c r="M968" s="2">
        <f t="shared" si="15"/>
        <v>38.914666128706884</v>
      </c>
    </row>
    <row r="969" spans="1:13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  <c r="M969" s="2">
        <f t="shared" si="15"/>
        <v>5.3382084095063984</v>
      </c>
    </row>
    <row r="970" spans="1:13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  <c r="M970" s="2">
        <f t="shared" si="15"/>
        <v>5.3382084095063984</v>
      </c>
    </row>
    <row r="971" spans="1:13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  <c r="M971" s="2">
        <f t="shared" si="15"/>
        <v>44.251336898395721</v>
      </c>
    </row>
    <row r="972" spans="1:13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  <c r="M972" s="2">
        <f t="shared" si="15"/>
        <v>44.251336898395721</v>
      </c>
    </row>
    <row r="973" spans="1:13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  <c r="M973" s="2">
        <f t="shared" si="15"/>
        <v>14.745972738537795</v>
      </c>
    </row>
    <row r="974" spans="1:13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  <c r="M974" s="2">
        <f t="shared" si="15"/>
        <v>19.116896375701888</v>
      </c>
    </row>
    <row r="975" spans="1:13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  <c r="M975" s="2">
        <f t="shared" si="15"/>
        <v>19.116896375701888</v>
      </c>
    </row>
    <row r="976" spans="1:13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  <c r="M976" s="2">
        <f t="shared" si="15"/>
        <v>14.625541780062493</v>
      </c>
    </row>
    <row r="977" spans="1:13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  <c r="M977" s="2">
        <f t="shared" si="15"/>
        <v>44.986589643078197</v>
      </c>
    </row>
    <row r="978" spans="1:13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  <c r="M978" s="2">
        <f t="shared" si="15"/>
        <v>30.887032617342879</v>
      </c>
    </row>
    <row r="979" spans="1:13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  <c r="M979" s="2">
        <f t="shared" si="15"/>
        <v>11.27946127946128</v>
      </c>
    </row>
    <row r="980" spans="1:13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  <c r="M980" s="2">
        <f t="shared" si="15"/>
        <v>11.27946127946128</v>
      </c>
    </row>
    <row r="981" spans="1:13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  <c r="M981" s="2">
        <f t="shared" si="15"/>
        <v>11.27946127946128</v>
      </c>
    </row>
    <row r="982" spans="1:13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  <c r="M982" s="2">
        <f t="shared" si="15"/>
        <v>43.970440040309036</v>
      </c>
    </row>
    <row r="983" spans="1:13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  <c r="M983" s="2">
        <f t="shared" si="15"/>
        <v>29.874928936895962</v>
      </c>
    </row>
    <row r="984" spans="1:13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  <c r="M984" s="2">
        <f t="shared" si="15"/>
        <v>45.080586961751266</v>
      </c>
    </row>
    <row r="985" spans="1:13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  <c r="M985" s="2">
        <f t="shared" si="15"/>
        <v>10.942087002935681</v>
      </c>
    </row>
    <row r="986" spans="1:13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  <c r="M986" s="2">
        <f t="shared" si="15"/>
        <v>10.942087002935681</v>
      </c>
    </row>
    <row r="987" spans="1:13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  <c r="M987" s="2">
        <f t="shared" si="15"/>
        <v>10.942087002935681</v>
      </c>
    </row>
    <row r="988" spans="1:13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  <c r="M988" s="2">
        <f t="shared" si="15"/>
        <v>10.942087002935681</v>
      </c>
    </row>
    <row r="989" spans="1:13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  <c r="M989" s="2">
        <f t="shared" si="15"/>
        <v>10.942087002935681</v>
      </c>
    </row>
    <row r="990" spans="1:13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  <c r="M990" s="2">
        <f t="shared" si="15"/>
        <v>16.718847839699436</v>
      </c>
    </row>
    <row r="991" spans="1:13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  <c r="M991" s="2">
        <f t="shared" si="15"/>
        <v>16.718847839699436</v>
      </c>
    </row>
    <row r="992" spans="1:13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  <c r="M992" s="2">
        <f t="shared" si="15"/>
        <v>16.718847839699436</v>
      </c>
    </row>
    <row r="993" spans="1:13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  <c r="M993" s="2">
        <f t="shared" si="15"/>
        <v>16.718847839699436</v>
      </c>
    </row>
    <row r="994" spans="1:13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  <c r="M994" s="2">
        <f t="shared" si="15"/>
        <v>16.718847839699436</v>
      </c>
    </row>
    <row r="995" spans="1:13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  <c r="M995" s="2">
        <f t="shared" si="15"/>
        <v>26.965372016846047</v>
      </c>
    </row>
    <row r="996" spans="1:13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  <c r="M996" s="2">
        <f t="shared" si="15"/>
        <v>2.282805058301856</v>
      </c>
    </row>
    <row r="997" spans="1:13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  <c r="M997" s="2">
        <f t="shared" si="15"/>
        <v>2.282805058301856</v>
      </c>
    </row>
    <row r="998" spans="1:13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  <c r="M998" s="2">
        <f t="shared" si="15"/>
        <v>2.282805058301856</v>
      </c>
    </row>
    <row r="999" spans="1:13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  <c r="M999" s="2">
        <f t="shared" si="15"/>
        <v>30.935808197989171</v>
      </c>
    </row>
    <row r="1000" spans="1:13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  <c r="M1000" s="2">
        <f t="shared" si="15"/>
        <v>30.935808197989171</v>
      </c>
    </row>
    <row r="1001" spans="1:13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  <c r="M1001" s="2">
        <f t="shared" si="15"/>
        <v>30.935808197989171</v>
      </c>
    </row>
    <row r="1002" spans="1:13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  <c r="M1002" s="2">
        <f t="shared" si="15"/>
        <v>43.279212137343627</v>
      </c>
    </row>
    <row r="1003" spans="1:13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  <c r="M1003" s="2">
        <f t="shared" si="15"/>
        <v>43.279212137343627</v>
      </c>
    </row>
    <row r="1004" spans="1:13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  <c r="M1004" s="2">
        <f t="shared" si="15"/>
        <v>43.279212137343627</v>
      </c>
    </row>
    <row r="1005" spans="1:13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  <c r="M1005" s="2">
        <f t="shared" si="15"/>
        <v>48.719430001925666</v>
      </c>
    </row>
    <row r="1006" spans="1:13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  <c r="M1006" s="2">
        <f t="shared" si="15"/>
        <v>48.719430001925666</v>
      </c>
    </row>
    <row r="1007" spans="1:13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  <c r="M1007" s="2">
        <f t="shared" si="15"/>
        <v>1.2811957827305485</v>
      </c>
    </row>
    <row r="1008" spans="1:13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  <c r="M1008" s="2">
        <f t="shared" si="15"/>
        <v>41.125121241513099</v>
      </c>
    </row>
    <row r="1009" spans="1:13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  <c r="M1009" s="2">
        <f t="shared" si="15"/>
        <v>21.44352924752199</v>
      </c>
    </row>
    <row r="1010" spans="1:13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  <c r="M1010" s="2">
        <f t="shared" si="15"/>
        <v>4.0486835568802784</v>
      </c>
    </row>
    <row r="1011" spans="1:13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  <c r="M1011" s="2">
        <f t="shared" si="15"/>
        <v>14.519535374868003</v>
      </c>
    </row>
    <row r="1012" spans="1:13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  <c r="M1012" s="2">
        <f t="shared" si="15"/>
        <v>2.6875699888017914</v>
      </c>
    </row>
    <row r="1013" spans="1:13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  <c r="M1013" s="2">
        <f t="shared" si="15"/>
        <v>44.629523262492818</v>
      </c>
    </row>
    <row r="1014" spans="1:13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  <c r="M1014" s="2">
        <f t="shared" si="15"/>
        <v>5.6327900287631829</v>
      </c>
    </row>
    <row r="1015" spans="1:13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  <c r="M1015" s="2">
        <f t="shared" si="15"/>
        <v>5.6327900287631829</v>
      </c>
    </row>
    <row r="1016" spans="1:13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  <c r="M1016" s="2">
        <f t="shared" si="15"/>
        <v>5.6327900287631829</v>
      </c>
    </row>
    <row r="1017" spans="1:13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  <c r="M1017" s="2">
        <f t="shared" si="15"/>
        <v>2.4740622505985637</v>
      </c>
    </row>
    <row r="1018" spans="1:13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  <c r="M1018" s="2">
        <f t="shared" si="15"/>
        <v>2.4740622505985637</v>
      </c>
    </row>
    <row r="1019" spans="1:13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  <c r="M1019" s="2">
        <f t="shared" si="15"/>
        <v>7.2330262708973052</v>
      </c>
    </row>
    <row r="1020" spans="1:13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  <c r="M1020" s="2">
        <f t="shared" si="15"/>
        <v>7.2330262708973052</v>
      </c>
    </row>
    <row r="1021" spans="1:13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  <c r="M1021" s="2">
        <f t="shared" si="15"/>
        <v>16.404886561954623</v>
      </c>
    </row>
    <row r="1022" spans="1:13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  <c r="M1022" s="2">
        <f t="shared" si="15"/>
        <v>8.3233857840477494</v>
      </c>
    </row>
    <row r="1023" spans="1:13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  <c r="M1023" s="2">
        <f t="shared" si="15"/>
        <v>8.3233857840477494</v>
      </c>
    </row>
    <row r="1024" spans="1:13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  <c r="M1024" s="2">
        <f t="shared" si="15"/>
        <v>12.72957568081064</v>
      </c>
    </row>
    <row r="1025" spans="1:13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  <c r="M1025" s="2">
        <f t="shared" si="15"/>
        <v>12.72957568081064</v>
      </c>
    </row>
    <row r="1026" spans="1:13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  <c r="M1026" s="2">
        <f t="shared" si="15"/>
        <v>20.364963503649637</v>
      </c>
    </row>
    <row r="1027" spans="1:13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  <c r="M1027" s="2">
        <f t="shared" ref="M1027:M1090" si="16">(C1027/B1027 )*100</f>
        <v>20.364963503649637</v>
      </c>
    </row>
    <row r="1028" spans="1:13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  <c r="M1028" s="2">
        <f t="shared" si="16"/>
        <v>25.365305357811913</v>
      </c>
    </row>
    <row r="1029" spans="1:13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  <c r="M1029" s="2">
        <f t="shared" si="16"/>
        <v>25.365305357811913</v>
      </c>
    </row>
    <row r="1030" spans="1:13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  <c r="M1030" s="2">
        <f t="shared" si="16"/>
        <v>25.365305357811913</v>
      </c>
    </row>
    <row r="1031" spans="1:13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  <c r="M1031" s="2">
        <f t="shared" si="16"/>
        <v>25.365305357811913</v>
      </c>
    </row>
    <row r="1032" spans="1:13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  <c r="M1032" s="2">
        <f t="shared" si="16"/>
        <v>30.403877221324716</v>
      </c>
    </row>
    <row r="1033" spans="1:13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  <c r="M1033" s="2">
        <f t="shared" si="16"/>
        <v>30.403877221324716</v>
      </c>
    </row>
    <row r="1034" spans="1:13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  <c r="M1034" s="2">
        <f t="shared" si="16"/>
        <v>37.061658633870699</v>
      </c>
    </row>
    <row r="1035" spans="1:13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  <c r="M1035" s="2">
        <f t="shared" si="16"/>
        <v>9.5636215334420882</v>
      </c>
    </row>
    <row r="1036" spans="1:13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  <c r="M1036" s="2">
        <f t="shared" si="16"/>
        <v>23.928571428571431</v>
      </c>
    </row>
    <row r="1037" spans="1:13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  <c r="M1037" s="2">
        <f t="shared" si="16"/>
        <v>17.821285140562249</v>
      </c>
    </row>
    <row r="1038" spans="1:13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  <c r="M1038" s="2">
        <f t="shared" si="16"/>
        <v>23.307145529367752</v>
      </c>
    </row>
    <row r="1039" spans="1:13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  <c r="M1039" s="2">
        <f t="shared" si="16"/>
        <v>23.307145529367752</v>
      </c>
    </row>
    <row r="1040" spans="1:13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  <c r="M1040" s="2">
        <f t="shared" si="16"/>
        <v>10.603182142009024</v>
      </c>
    </row>
    <row r="1041" spans="1:13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  <c r="M1041" s="2">
        <f t="shared" si="16"/>
        <v>10.603182142009024</v>
      </c>
    </row>
    <row r="1042" spans="1:13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  <c r="M1042" s="2">
        <f t="shared" si="16"/>
        <v>23.701883701883702</v>
      </c>
    </row>
    <row r="1043" spans="1:13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  <c r="M1043" s="2">
        <f t="shared" si="16"/>
        <v>23.701883701883702</v>
      </c>
    </row>
    <row r="1044" spans="1:13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  <c r="M1044" s="2">
        <f t="shared" si="16"/>
        <v>12.686567164179104</v>
      </c>
    </row>
    <row r="1045" spans="1:13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  <c r="M1045" s="2">
        <f t="shared" si="16"/>
        <v>24.944540300714813</v>
      </c>
    </row>
    <row r="1046" spans="1:13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  <c r="M1046" s="2">
        <f t="shared" si="16"/>
        <v>30.105160185864516</v>
      </c>
    </row>
    <row r="1047" spans="1:13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  <c r="M1047" s="2">
        <f t="shared" si="16"/>
        <v>19.264168190127968</v>
      </c>
    </row>
    <row r="1048" spans="1:13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  <c r="M1048" s="2">
        <f t="shared" si="16"/>
        <v>19.264168190127968</v>
      </c>
    </row>
    <row r="1049" spans="1:13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  <c r="M1049" s="2">
        <f t="shared" si="16"/>
        <v>19.264168190127968</v>
      </c>
    </row>
    <row r="1050" spans="1:13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  <c r="M1050" s="2">
        <f t="shared" si="16"/>
        <v>49.487408067751282</v>
      </c>
    </row>
    <row r="1051" spans="1:13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  <c r="M1051" s="2">
        <f t="shared" si="16"/>
        <v>34.081408140814077</v>
      </c>
    </row>
    <row r="1052" spans="1:13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  <c r="M1052" s="2">
        <f t="shared" si="16"/>
        <v>34.081408140814077</v>
      </c>
    </row>
    <row r="1053" spans="1:13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  <c r="M1053" s="2">
        <f t="shared" si="16"/>
        <v>41.833137485311397</v>
      </c>
    </row>
    <row r="1054" spans="1:13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  <c r="M1054" s="2">
        <f t="shared" si="16"/>
        <v>41.833137485311397</v>
      </c>
    </row>
    <row r="1055" spans="1:13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  <c r="M1055" s="2">
        <f t="shared" si="16"/>
        <v>13.414409434309931</v>
      </c>
    </row>
    <row r="1056" spans="1:13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  <c r="M1056" s="2">
        <f t="shared" si="16"/>
        <v>33.914656771799628</v>
      </c>
    </row>
    <row r="1057" spans="1:13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  <c r="M1057" s="2">
        <f t="shared" si="16"/>
        <v>33.914656771799628</v>
      </c>
    </row>
    <row r="1058" spans="1:13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  <c r="M1058" s="2">
        <f t="shared" si="16"/>
        <v>41.869237217099744</v>
      </c>
    </row>
    <row r="1059" spans="1:13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  <c r="M1059" s="2">
        <f t="shared" si="16"/>
        <v>6.5236427320490371</v>
      </c>
    </row>
    <row r="1060" spans="1:13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  <c r="M1060" s="2">
        <f t="shared" si="16"/>
        <v>10.076234670202187</v>
      </c>
    </row>
    <row r="1061" spans="1:13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  <c r="M1061" s="2">
        <f t="shared" si="16"/>
        <v>37.50558284948638</v>
      </c>
    </row>
    <row r="1062" spans="1:13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  <c r="M1062" s="2">
        <f t="shared" si="16"/>
        <v>27.829261443414772</v>
      </c>
    </row>
    <row r="1063" spans="1:13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  <c r="M1063" s="2">
        <f t="shared" si="16"/>
        <v>46.107416879795402</v>
      </c>
    </row>
    <row r="1064" spans="1:13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  <c r="M1064" s="2">
        <f t="shared" si="16"/>
        <v>5.3490480507706257</v>
      </c>
    </row>
    <row r="1065" spans="1:13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  <c r="M1065" s="2">
        <f t="shared" si="16"/>
        <v>21.546961325966851</v>
      </c>
    </row>
    <row r="1066" spans="1:13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  <c r="M1066" s="2">
        <f t="shared" si="16"/>
        <v>21.546961325966851</v>
      </c>
    </row>
    <row r="1067" spans="1:13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  <c r="M1067" s="2">
        <f t="shared" si="16"/>
        <v>21.546961325966851</v>
      </c>
    </row>
    <row r="1068" spans="1:13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  <c r="M1068" s="2">
        <f t="shared" si="16"/>
        <v>15.712214570496558</v>
      </c>
    </row>
    <row r="1069" spans="1:13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  <c r="M1069" s="2">
        <f t="shared" si="16"/>
        <v>8.0095162569389373</v>
      </c>
    </row>
    <row r="1070" spans="1:13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  <c r="M1070" s="2">
        <f t="shared" si="16"/>
        <v>8.0095162569389373</v>
      </c>
    </row>
    <row r="1071" spans="1:13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  <c r="M1071" s="2">
        <f t="shared" si="16"/>
        <v>12.073490813648293</v>
      </c>
    </row>
    <row r="1072" spans="1:13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  <c r="M1072" s="2">
        <f t="shared" si="16"/>
        <v>3.7997587454764772</v>
      </c>
    </row>
    <row r="1073" spans="1:13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  <c r="M1073" s="2">
        <f t="shared" si="16"/>
        <v>47.147147147147145</v>
      </c>
    </row>
    <row r="1074" spans="1:13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  <c r="M1074" s="2">
        <f t="shared" si="16"/>
        <v>47.147147147147145</v>
      </c>
    </row>
    <row r="1075" spans="1:13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  <c r="M1075" s="2">
        <f t="shared" si="16"/>
        <v>47.147147147147145</v>
      </c>
    </row>
    <row r="1076" spans="1:13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  <c r="M1076" s="2">
        <f t="shared" si="16"/>
        <v>6.3570316554229374</v>
      </c>
    </row>
    <row r="1077" spans="1:13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  <c r="M1077" s="2">
        <f t="shared" si="16"/>
        <v>38.139336087761791</v>
      </c>
    </row>
    <row r="1078" spans="1:13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  <c r="M1078" s="2">
        <f t="shared" si="16"/>
        <v>44.339939536446089</v>
      </c>
    </row>
    <row r="1079" spans="1:13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  <c r="M1079" s="2">
        <f t="shared" si="16"/>
        <v>44.339939536446089</v>
      </c>
    </row>
    <row r="1080" spans="1:13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  <c r="M1080" s="2">
        <f t="shared" si="16"/>
        <v>37.100082034454474</v>
      </c>
    </row>
    <row r="1081" spans="1:13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  <c r="M1081" s="2">
        <f t="shared" si="16"/>
        <v>37.100082034454474</v>
      </c>
    </row>
    <row r="1082" spans="1:13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  <c r="M1082" s="2">
        <f t="shared" si="16"/>
        <v>6.0356138706654168</v>
      </c>
    </row>
    <row r="1083" spans="1:13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  <c r="M1083" s="2">
        <f t="shared" si="16"/>
        <v>5.5020632737276474</v>
      </c>
    </row>
    <row r="1084" spans="1:13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  <c r="M1084" s="2">
        <f t="shared" si="16"/>
        <v>22.888161808447354</v>
      </c>
    </row>
    <row r="1085" spans="1:13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  <c r="M1085" s="2">
        <f t="shared" si="16"/>
        <v>22.888161808447354</v>
      </c>
    </row>
    <row r="1086" spans="1:13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  <c r="M1086" s="2">
        <f t="shared" si="16"/>
        <v>39.447032610897303</v>
      </c>
    </row>
    <row r="1087" spans="1:13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  <c r="M1087" s="2">
        <f t="shared" si="16"/>
        <v>30.195201301342006</v>
      </c>
    </row>
    <row r="1088" spans="1:13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  <c r="M1088" s="2">
        <f t="shared" si="16"/>
        <v>37.002195045468802</v>
      </c>
    </row>
    <row r="1089" spans="1:13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  <c r="M1089" s="2">
        <f t="shared" si="16"/>
        <v>26.564828614008938</v>
      </c>
    </row>
    <row r="1090" spans="1:13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  <c r="M1090" s="2">
        <f t="shared" si="16"/>
        <v>26.564828614008938</v>
      </c>
    </row>
    <row r="1091" spans="1:13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  <c r="M1091" s="2">
        <f t="shared" ref="M1091:M1154" si="17">(C1091/B1091 )*100</f>
        <v>26.564828614008938</v>
      </c>
    </row>
    <row r="1092" spans="1:13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  <c r="M1092" s="2">
        <f t="shared" si="17"/>
        <v>3.002884867558353</v>
      </c>
    </row>
    <row r="1093" spans="1:13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  <c r="M1093" s="2">
        <f t="shared" si="17"/>
        <v>3.002884867558353</v>
      </c>
    </row>
    <row r="1094" spans="1:13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  <c r="M1094" s="2">
        <f t="shared" si="17"/>
        <v>45.928924876293294</v>
      </c>
    </row>
    <row r="1095" spans="1:13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  <c r="M1095" s="2">
        <f t="shared" si="17"/>
        <v>27.535521803037728</v>
      </c>
    </row>
    <row r="1096" spans="1:13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  <c r="M1096" s="2">
        <f t="shared" si="17"/>
        <v>42.572741194486987</v>
      </c>
    </row>
    <row r="1097" spans="1:13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  <c r="M1097" s="2">
        <f t="shared" si="17"/>
        <v>12.820829220138203</v>
      </c>
    </row>
    <row r="1098" spans="1:13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  <c r="M1098" s="2">
        <f t="shared" si="17"/>
        <v>12.820829220138203</v>
      </c>
    </row>
    <row r="1099" spans="1:13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  <c r="M1099" s="2">
        <f t="shared" si="17"/>
        <v>12.820829220138203</v>
      </c>
    </row>
    <row r="1100" spans="1:13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  <c r="M1100" s="2">
        <f t="shared" si="17"/>
        <v>41.912632821723733</v>
      </c>
    </row>
    <row r="1101" spans="1:13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  <c r="M1101" s="2">
        <f t="shared" si="17"/>
        <v>41.912632821723733</v>
      </c>
    </row>
    <row r="1102" spans="1:13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  <c r="M1102" s="2">
        <f t="shared" si="17"/>
        <v>41.912632821723733</v>
      </c>
    </row>
    <row r="1103" spans="1:13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  <c r="M1103" s="2">
        <f t="shared" si="17"/>
        <v>1.757750079897731</v>
      </c>
    </row>
    <row r="1104" spans="1:13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  <c r="M1104" s="2">
        <f t="shared" si="17"/>
        <v>48.855645058176705</v>
      </c>
    </row>
    <row r="1105" spans="1:13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  <c r="M1105" s="2">
        <f t="shared" si="17"/>
        <v>2.6953042745841227</v>
      </c>
    </row>
    <row r="1106" spans="1:13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  <c r="M1106" s="2">
        <f t="shared" si="17"/>
        <v>2.6953042745841227</v>
      </c>
    </row>
    <row r="1107" spans="1:13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  <c r="M1107" s="2">
        <f t="shared" si="17"/>
        <v>22.230360739791248</v>
      </c>
    </row>
    <row r="1108" spans="1:13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  <c r="M1108" s="2">
        <f t="shared" si="17"/>
        <v>19.811932555123217</v>
      </c>
    </row>
    <row r="1109" spans="1:13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  <c r="M1109" s="2">
        <f t="shared" si="17"/>
        <v>49.991785772958764</v>
      </c>
    </row>
    <row r="1110" spans="1:13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  <c r="M1110" s="2">
        <f t="shared" si="17"/>
        <v>49.099836333878891</v>
      </c>
    </row>
    <row r="1111" spans="1:13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  <c r="M1111" s="2">
        <f t="shared" si="17"/>
        <v>30.26541527903926</v>
      </c>
    </row>
    <row r="1112" spans="1:13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  <c r="M1112" s="2">
        <f t="shared" si="17"/>
        <v>30.26541527903926</v>
      </c>
    </row>
    <row r="1113" spans="1:13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  <c r="M1113" s="2">
        <f t="shared" si="17"/>
        <v>49.005397070161912</v>
      </c>
    </row>
    <row r="1114" spans="1:13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  <c r="M1114" s="2">
        <f t="shared" si="17"/>
        <v>27.124948339991732</v>
      </c>
    </row>
    <row r="1115" spans="1:13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  <c r="M1115" s="2">
        <f t="shared" si="17"/>
        <v>21.002100210021002</v>
      </c>
    </row>
    <row r="1116" spans="1:13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  <c r="M1116" s="2">
        <f t="shared" si="17"/>
        <v>15.437965579244798</v>
      </c>
    </row>
    <row r="1117" spans="1:13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  <c r="M1117" s="2">
        <f t="shared" si="17"/>
        <v>31.763474620617476</v>
      </c>
    </row>
    <row r="1118" spans="1:13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  <c r="M1118" s="2">
        <f t="shared" si="17"/>
        <v>16.734417344173441</v>
      </c>
    </row>
    <row r="1119" spans="1:13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  <c r="M1119" s="2">
        <f t="shared" si="17"/>
        <v>16.734417344173441</v>
      </c>
    </row>
    <row r="1120" spans="1:13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  <c r="M1120" s="2">
        <f t="shared" si="17"/>
        <v>40.783744557329463</v>
      </c>
    </row>
    <row r="1121" spans="1:13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  <c r="M1121" s="2">
        <f t="shared" si="17"/>
        <v>3.9036291552302531</v>
      </c>
    </row>
    <row r="1122" spans="1:13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  <c r="M1122" s="2">
        <f t="shared" si="17"/>
        <v>34.779299847792998</v>
      </c>
    </row>
    <row r="1123" spans="1:13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  <c r="M1123" s="2">
        <f t="shared" si="17"/>
        <v>15.728449000168037</v>
      </c>
    </row>
    <row r="1124" spans="1:13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  <c r="M1124" s="2">
        <f t="shared" si="17"/>
        <v>15.728449000168037</v>
      </c>
    </row>
    <row r="1125" spans="1:13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  <c r="M1125" s="2">
        <f t="shared" si="17"/>
        <v>17.842741935483872</v>
      </c>
    </row>
    <row r="1126" spans="1:13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  <c r="M1126" s="2">
        <f t="shared" si="17"/>
        <v>13.300702277080228</v>
      </c>
    </row>
    <row r="1127" spans="1:13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  <c r="M1127" s="2">
        <f t="shared" si="17"/>
        <v>38.04210905164657</v>
      </c>
    </row>
    <row r="1128" spans="1:13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  <c r="M1128" s="2">
        <f t="shared" si="17"/>
        <v>27.153667054714788</v>
      </c>
    </row>
    <row r="1129" spans="1:13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  <c r="M1129" s="2">
        <f t="shared" si="17"/>
        <v>39.329268292682926</v>
      </c>
    </row>
    <row r="1130" spans="1:13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  <c r="M1130" s="2">
        <f t="shared" si="17"/>
        <v>1.6404199475065617</v>
      </c>
    </row>
    <row r="1131" spans="1:13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  <c r="M1131" s="2">
        <f t="shared" si="17"/>
        <v>1.6404199475065617</v>
      </c>
    </row>
    <row r="1132" spans="1:13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  <c r="M1132" s="2">
        <f t="shared" si="17"/>
        <v>36.879925822902173</v>
      </c>
    </row>
    <row r="1133" spans="1:13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  <c r="M1133" s="2">
        <f t="shared" si="17"/>
        <v>11.286860241780589</v>
      </c>
    </row>
    <row r="1134" spans="1:13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  <c r="M1134" s="2">
        <f t="shared" si="17"/>
        <v>50</v>
      </c>
    </row>
    <row r="1135" spans="1:13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  <c r="M1135" s="2">
        <f t="shared" si="17"/>
        <v>50</v>
      </c>
    </row>
    <row r="1136" spans="1:13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  <c r="M1136" s="2">
        <f t="shared" si="17"/>
        <v>26.443202979515828</v>
      </c>
    </row>
    <row r="1137" spans="1:13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  <c r="M1137" s="2">
        <f t="shared" si="17"/>
        <v>44.767833109017495</v>
      </c>
    </row>
    <row r="1138" spans="1:13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  <c r="M1138" s="2">
        <f t="shared" si="17"/>
        <v>5.9787422497785654</v>
      </c>
    </row>
    <row r="1139" spans="1:13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  <c r="M1139" s="2">
        <f t="shared" si="17"/>
        <v>5.9787422497785654</v>
      </c>
    </row>
    <row r="1140" spans="1:13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  <c r="M1140" s="2">
        <f t="shared" si="17"/>
        <v>45.155583307316064</v>
      </c>
    </row>
    <row r="1141" spans="1:13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  <c r="M1141" s="2">
        <f t="shared" si="17"/>
        <v>45.155583307316064</v>
      </c>
    </row>
    <row r="1142" spans="1:13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  <c r="M1142" s="2">
        <f t="shared" si="17"/>
        <v>33.16921221864952</v>
      </c>
    </row>
    <row r="1143" spans="1:13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  <c r="M1143" s="2">
        <f t="shared" si="17"/>
        <v>46.439785272966674</v>
      </c>
    </row>
    <row r="1144" spans="1:13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  <c r="M1144" s="2">
        <f t="shared" si="17"/>
        <v>37.5</v>
      </c>
    </row>
    <row r="1145" spans="1:13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  <c r="M1145" s="2">
        <f t="shared" si="17"/>
        <v>37.5</v>
      </c>
    </row>
    <row r="1146" spans="1:13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  <c r="M1146" s="2">
        <f t="shared" si="17"/>
        <v>1.1642156862745099</v>
      </c>
    </row>
    <row r="1147" spans="1:13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  <c r="M1147" s="2">
        <f t="shared" si="17"/>
        <v>37.782754759238522</v>
      </c>
    </row>
    <row r="1148" spans="1:13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  <c r="M1148" s="2">
        <f t="shared" si="17"/>
        <v>39.327582393275826</v>
      </c>
    </row>
    <row r="1149" spans="1:13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  <c r="M1149" s="2">
        <f t="shared" si="17"/>
        <v>32.675222112537014</v>
      </c>
    </row>
    <row r="1150" spans="1:13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  <c r="M1150" s="2">
        <f t="shared" si="17"/>
        <v>13.660161827701096</v>
      </c>
    </row>
    <row r="1151" spans="1:13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  <c r="M1151" s="2">
        <f t="shared" si="17"/>
        <v>13.660161827701096</v>
      </c>
    </row>
    <row r="1152" spans="1:13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  <c r="M1152" s="2">
        <f t="shared" si="17"/>
        <v>22.767237390097179</v>
      </c>
    </row>
    <row r="1153" spans="1:13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  <c r="M1153" s="2">
        <f t="shared" si="17"/>
        <v>49.745203836930457</v>
      </c>
    </row>
    <row r="1154" spans="1:13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  <c r="M1154" s="2">
        <f t="shared" si="17"/>
        <v>49.745203836930457</v>
      </c>
    </row>
    <row r="1155" spans="1:13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  <c r="M1155" s="2">
        <f t="shared" ref="M1155:M1195" si="18">(C1155/B1155 )*100</f>
        <v>2.1919557352628218</v>
      </c>
    </row>
    <row r="1156" spans="1:13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  <c r="M1156" s="2">
        <f t="shared" si="18"/>
        <v>20.441086379415967</v>
      </c>
    </row>
    <row r="1157" spans="1:13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  <c r="M1157" s="2">
        <f t="shared" si="18"/>
        <v>20.441086379415967</v>
      </c>
    </row>
    <row r="1158" spans="1:13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  <c r="M1158" s="2">
        <f t="shared" si="18"/>
        <v>38.241758241758241</v>
      </c>
    </row>
    <row r="1159" spans="1:13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  <c r="M1159" s="2">
        <f t="shared" si="18"/>
        <v>38.241758241758241</v>
      </c>
    </row>
    <row r="1160" spans="1:13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  <c r="M1160" s="2">
        <f t="shared" si="18"/>
        <v>19.100517687661778</v>
      </c>
    </row>
    <row r="1161" spans="1:13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  <c r="M1161" s="2">
        <f t="shared" si="18"/>
        <v>19.100517687661778</v>
      </c>
    </row>
    <row r="1162" spans="1:13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  <c r="M1162" s="2">
        <f t="shared" si="18"/>
        <v>13.430749682337991</v>
      </c>
    </row>
    <row r="1163" spans="1:13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  <c r="M1163" s="2">
        <f t="shared" si="18"/>
        <v>13.430749682337991</v>
      </c>
    </row>
    <row r="1164" spans="1:13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  <c r="M1164" s="2">
        <f t="shared" si="18"/>
        <v>11.173673673673672</v>
      </c>
    </row>
    <row r="1165" spans="1:13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  <c r="M1165" s="2">
        <f t="shared" si="18"/>
        <v>11.173673673673672</v>
      </c>
    </row>
    <row r="1166" spans="1:13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  <c r="M1166" s="2">
        <f t="shared" si="18"/>
        <v>11.173673673673672</v>
      </c>
    </row>
    <row r="1167" spans="1:13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  <c r="M1167" s="2">
        <f t="shared" si="18"/>
        <v>33.682104939221418</v>
      </c>
    </row>
    <row r="1168" spans="1:13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  <c r="M1168" s="2">
        <f t="shared" si="18"/>
        <v>33.682104939221418</v>
      </c>
    </row>
    <row r="1169" spans="1:13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  <c r="M1169" s="2">
        <f t="shared" si="18"/>
        <v>23.621157323688969</v>
      </c>
    </row>
    <row r="1170" spans="1:13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  <c r="M1170" s="2">
        <f t="shared" si="18"/>
        <v>45.176529090004976</v>
      </c>
    </row>
    <row r="1171" spans="1:13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  <c r="M1171" s="2">
        <f t="shared" si="18"/>
        <v>45.176529090004976</v>
      </c>
    </row>
    <row r="1172" spans="1:13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  <c r="M1172" s="2">
        <f t="shared" si="18"/>
        <v>17.985708507482808</v>
      </c>
    </row>
    <row r="1173" spans="1:13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  <c r="M1173" s="2">
        <f t="shared" si="18"/>
        <v>19.066937119675455</v>
      </c>
    </row>
    <row r="1174" spans="1:13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  <c r="M1174" s="2">
        <f t="shared" si="18"/>
        <v>29.949595592544835</v>
      </c>
    </row>
    <row r="1175" spans="1:13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  <c r="M1175" s="2">
        <f t="shared" si="18"/>
        <v>12.759554619319891</v>
      </c>
    </row>
    <row r="1176" spans="1:13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  <c r="M1176" s="2">
        <f t="shared" si="18"/>
        <v>12.759554619319891</v>
      </c>
    </row>
    <row r="1177" spans="1:13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  <c r="M1177" s="2">
        <f t="shared" si="18"/>
        <v>35.526831179005093</v>
      </c>
    </row>
    <row r="1178" spans="1:13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  <c r="M1178" s="2">
        <f t="shared" si="18"/>
        <v>41.04829210836278</v>
      </c>
    </row>
    <row r="1179" spans="1:13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  <c r="M1179" s="2">
        <f t="shared" si="18"/>
        <v>49.460766084046114</v>
      </c>
    </row>
    <row r="1180" spans="1:13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  <c r="M1180" s="2">
        <f t="shared" si="18"/>
        <v>49.460766084046114</v>
      </c>
    </row>
    <row r="1181" spans="1:13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  <c r="M1181" s="2">
        <f t="shared" si="18"/>
        <v>6.625766871165645</v>
      </c>
    </row>
    <row r="1182" spans="1:13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  <c r="M1182" s="2">
        <f t="shared" si="18"/>
        <v>7.5437898089171975</v>
      </c>
    </row>
    <row r="1183" spans="1:13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  <c r="M1183" s="2">
        <f t="shared" si="18"/>
        <v>7.5437898089171975</v>
      </c>
    </row>
    <row r="1184" spans="1:13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  <c r="M1184" s="2">
        <f t="shared" si="18"/>
        <v>27.270698504798034</v>
      </c>
    </row>
    <row r="1185" spans="1:13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  <c r="M1185" s="2">
        <f t="shared" si="18"/>
        <v>27.270698504798034</v>
      </c>
    </row>
    <row r="1186" spans="1:13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  <c r="M1186" s="2">
        <f t="shared" si="18"/>
        <v>3.0086690464048953</v>
      </c>
    </row>
    <row r="1187" spans="1:13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  <c r="M1187" s="2">
        <f t="shared" si="18"/>
        <v>15.779467680608365</v>
      </c>
    </row>
    <row r="1188" spans="1:13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  <c r="M1188" s="2">
        <f t="shared" si="18"/>
        <v>49.926144756277694</v>
      </c>
    </row>
    <row r="1189" spans="1:13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  <c r="M1189" s="2">
        <f t="shared" si="18"/>
        <v>49.926144756277694</v>
      </c>
    </row>
    <row r="1190" spans="1:13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  <c r="M1190" s="2">
        <f t="shared" si="18"/>
        <v>3.195220158462138</v>
      </c>
    </row>
    <row r="1191" spans="1:13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  <c r="M1191" s="2">
        <f t="shared" si="18"/>
        <v>40.725212464589234</v>
      </c>
    </row>
    <row r="1192" spans="1:13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  <c r="M1192" s="2">
        <f t="shared" si="18"/>
        <v>30.835734870317005</v>
      </c>
    </row>
    <row r="1193" spans="1:13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  <c r="M1193" s="2">
        <f t="shared" si="18"/>
        <v>30.835734870317005</v>
      </c>
    </row>
    <row r="1194" spans="1:13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  <c r="M1194" s="2">
        <f t="shared" si="18"/>
        <v>30.835734870317005</v>
      </c>
    </row>
    <row r="1195" spans="1:13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  <c r="M1195" s="2">
        <f t="shared" si="18"/>
        <v>17.833698030634572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Dashbaord</vt:lpstr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SAPKAL</cp:lastModifiedBy>
  <dcterms:created xsi:type="dcterms:W3CDTF">2026-06-25T18:29:45Z</dcterms:created>
  <dcterms:modified xsi:type="dcterms:W3CDTF">2026-06-26T12:24:24Z</dcterms:modified>
</cp:coreProperties>
</file>